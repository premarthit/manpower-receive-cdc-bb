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/>
  <mc:AlternateContent xmlns:mc="http://schemas.openxmlformats.org/markup-compatibility/2006">
    <mc:Choice Requires="x15">
      <x15ac:absPath xmlns:x15ac="http://schemas.microsoft.com/office/spreadsheetml/2010/11/ac" url="C:\Users\arthitpuna\manpower_dashboard\"/>
    </mc:Choice>
  </mc:AlternateContent>
  <xr:revisionPtr revIDLastSave="0" documentId="13_ncr:1_{957F7EFA-483B-4422-93D1-99154D8B4F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8-69" sheetId="1" r:id="rId1"/>
    <sheet name="09-69" sheetId="2" r:id="rId2"/>
    <sheet name="10-69" sheetId="3" r:id="rId3"/>
    <sheet name="11-69" sheetId="5" r:id="rId4"/>
    <sheet name="12-69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64" i="3" l="1"/>
  <c r="AJ61" i="3"/>
  <c r="AJ58" i="3"/>
  <c r="AJ64" i="6"/>
  <c r="AJ61" i="6"/>
  <c r="AJ58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Q58" i="6"/>
  <c r="P58" i="6"/>
  <c r="O58" i="6"/>
  <c r="N58" i="6"/>
  <c r="M58" i="6"/>
  <c r="L58" i="6"/>
  <c r="K58" i="6"/>
  <c r="J58" i="6"/>
  <c r="I58" i="6"/>
  <c r="H58" i="6"/>
  <c r="G58" i="6"/>
  <c r="F58" i="6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Q58" i="5"/>
  <c r="P58" i="5"/>
  <c r="O58" i="5"/>
  <c r="N58" i="5"/>
  <c r="M58" i="5"/>
  <c r="L58" i="5"/>
  <c r="K58" i="5"/>
  <c r="J58" i="5"/>
  <c r="I58" i="5"/>
  <c r="H58" i="5"/>
  <c r="G58" i="5"/>
  <c r="F58" i="5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Q58" i="3"/>
  <c r="P58" i="3"/>
  <c r="O58" i="3"/>
  <c r="N58" i="3"/>
  <c r="M58" i="3"/>
  <c r="L58" i="3"/>
  <c r="K58" i="3"/>
  <c r="J58" i="3"/>
  <c r="I58" i="3"/>
  <c r="H58" i="3"/>
  <c r="G58" i="3"/>
  <c r="F58" i="3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Q58" i="2"/>
  <c r="P58" i="2"/>
  <c r="O58" i="2"/>
  <c r="N58" i="2"/>
  <c r="M58" i="2"/>
  <c r="L58" i="2"/>
  <c r="K58" i="2"/>
  <c r="J58" i="2"/>
  <c r="I58" i="2"/>
  <c r="H58" i="2"/>
  <c r="G58" i="2"/>
  <c r="F58" i="2"/>
  <c r="AB58" i="1"/>
  <c r="AB61" i="1"/>
  <c r="AB64" i="1"/>
  <c r="X58" i="1"/>
  <c r="X61" i="1"/>
  <c r="X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Y64" i="1"/>
  <c r="Z64" i="1"/>
  <c r="AA64" i="1"/>
  <c r="AC64" i="1"/>
  <c r="AD64" i="1"/>
  <c r="AE64" i="1"/>
  <c r="AF64" i="1"/>
  <c r="AG64" i="1"/>
  <c r="AH64" i="1"/>
  <c r="AI64" i="1"/>
  <c r="F64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Y61" i="1"/>
  <c r="Z61" i="1"/>
  <c r="AA61" i="1"/>
  <c r="AC61" i="1"/>
  <c r="AD61" i="1"/>
  <c r="AE61" i="1"/>
  <c r="AF61" i="1"/>
  <c r="AG61" i="1"/>
  <c r="AH61" i="1"/>
  <c r="AI61" i="1"/>
  <c r="F61" i="1"/>
  <c r="G58" i="1"/>
  <c r="H58" i="1"/>
  <c r="I58" i="1"/>
  <c r="J58" i="1"/>
  <c r="K58" i="1"/>
  <c r="L58" i="1"/>
  <c r="M58" i="1"/>
  <c r="N58" i="1"/>
  <c r="O58" i="1"/>
  <c r="P58" i="1"/>
  <c r="Q58" i="1"/>
  <c r="S58" i="1"/>
  <c r="T58" i="1"/>
  <c r="U58" i="1"/>
  <c r="V58" i="1"/>
  <c r="W58" i="1"/>
  <c r="Y58" i="1"/>
  <c r="Z58" i="1"/>
  <c r="AA58" i="1"/>
  <c r="AC58" i="1"/>
  <c r="AD58" i="1"/>
  <c r="AE58" i="1"/>
  <c r="AF58" i="1"/>
  <c r="AG58" i="1"/>
  <c r="AH58" i="1"/>
  <c r="AI58" i="1"/>
  <c r="F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Bundit &lt;HERE&gt; Sothorntaweepong</author>
  </authors>
  <commentList>
    <comment ref="K18" authorId="0" shapeId="0" xr:uid="{00000000-0006-0000-0000-00000A000000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  <comment ref="T25" authorId="0" shapeId="0" xr:uid="{00000000-0006-0000-0000-00000C000000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  <comment ref="L29" authorId="0" shapeId="0" xr:uid="{00000000-0006-0000-0000-00000F000000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Bundit &lt;HERE&gt; Sothorntaweepong</author>
  </authors>
  <commentList>
    <comment ref="K18" authorId="0" shapeId="0" xr:uid="{07253E67-FBC1-4928-856F-87D91147BB50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  <comment ref="T25" authorId="0" shapeId="0" xr:uid="{D8DD2095-8049-4E04-831F-4E51D1431F5D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  <comment ref="L29" authorId="0" shapeId="0" xr:uid="{82A97274-608E-48F2-89AD-F26358942C71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Bundit &lt;HERE&gt; Sothorntaweepong</author>
  </authors>
  <commentList>
    <comment ref="K18" authorId="0" shapeId="0" xr:uid="{7CAABA14-27DE-48FE-8033-ED558AF61450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  <comment ref="T25" authorId="0" shapeId="0" xr:uid="{B23D00DF-2875-45CC-95DD-00133B7C314A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  <comment ref="L29" authorId="0" shapeId="0" xr:uid="{3C9B692F-8680-4E35-A5F6-490F743BB55D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Bundit &lt;HERE&gt; Sothorntaweepong</author>
  </authors>
  <commentList>
    <comment ref="K18" authorId="0" shapeId="0" xr:uid="{0FDFD8EA-DF8A-4608-AA2D-2F6FB3BDAA7D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  <comment ref="T25" authorId="0" shapeId="0" xr:uid="{F850AB7A-0DC7-4F25-807A-F3F69868F101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  <comment ref="L29" authorId="0" shapeId="0" xr:uid="{94CD6C28-7D3C-4C77-8CA9-7D2E859893DE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Bundit &lt;HERE&gt; Sothorntaweepong</author>
  </authors>
  <commentList>
    <comment ref="K18" authorId="0" shapeId="0" xr:uid="{28A5C2E5-D894-439E-B63A-7438B3FCEF4C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  <comment ref="T25" authorId="0" shapeId="0" xr:uid="{5798C53E-A138-4D63-996C-20DC060F9D60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  <comment ref="L29" authorId="0" shapeId="0" xr:uid="{45AA7FAF-0EF6-4A5B-B43B-01AC672CE091}">
      <text>
        <r>
          <rPr>
            <sz val="11"/>
            <color theme="1"/>
            <rFont val="Tahoma"/>
            <family val="2"/>
            <charset val="222"/>
            <scheme val="minor"/>
          </rPr>
          <t>Bundit &lt;HERE&gt; Sothorntaweepong:
NO OT</t>
        </r>
      </text>
    </comment>
  </commentList>
</comments>
</file>

<file path=xl/sharedStrings.xml><?xml version="1.0" encoding="utf-8"?>
<sst xmlns="http://schemas.openxmlformats.org/spreadsheetml/2006/main" count="4207" uniqueCount="137">
  <si>
    <t>รหัสพนักงาน</t>
  </si>
  <si>
    <t>ชื่อ-นามสกุล</t>
  </si>
  <si>
    <t>ชื่อเล่น</t>
  </si>
  <si>
    <t>6HH</t>
  </si>
  <si>
    <t>ศตวรรษ แก้วเหลา</t>
  </si>
  <si>
    <t>บาส</t>
  </si>
  <si>
    <t>ผู้ช่วยหัวหน้าหน่วย</t>
  </si>
  <si>
    <t>A100</t>
  </si>
  <si>
    <t>ว</t>
  </si>
  <si>
    <t>พ</t>
  </si>
  <si>
    <t>A900</t>
  </si>
  <si>
    <t>หยก  สำราญสม</t>
  </si>
  <si>
    <t>หยก</t>
  </si>
  <si>
    <t>หัวหน้าหน่วย</t>
  </si>
  <si>
    <t>0193356</t>
  </si>
  <si>
    <t>ธนพล ทักษิณ</t>
  </si>
  <si>
    <t>เหม</t>
  </si>
  <si>
    <t>ERT</t>
  </si>
  <si>
    <t xml:space="preserve">พจมาน  สุขประเสริฐ </t>
  </si>
  <si>
    <t>เจี๊ยบ</t>
  </si>
  <si>
    <t>อาทิตย์ ภูนาโท</t>
  </si>
  <si>
    <t>เปรม</t>
  </si>
  <si>
    <t>A600</t>
  </si>
  <si>
    <t>พรทิพย์ เกสรนวสิน</t>
  </si>
  <si>
    <t>พนักงาน</t>
  </si>
  <si>
    <t xml:space="preserve">จิตติพัฒน์ อยู่ขอม </t>
  </si>
  <si>
    <t>อัฐ</t>
  </si>
  <si>
    <t>พนักงานรายวัน</t>
  </si>
  <si>
    <t>ทิวาพร  เลไธสง</t>
  </si>
  <si>
    <t>เดือน</t>
  </si>
  <si>
    <t>สิทธิชัย วรพิมพ์รัตน์</t>
  </si>
  <si>
    <t>เบิร์ด</t>
  </si>
  <si>
    <t>มินตรา แข็งขัน</t>
  </si>
  <si>
    <t>กระต่าย</t>
  </si>
  <si>
    <t>ขวัญฤทัย  ด้วงต่าย</t>
  </si>
  <si>
    <t>ขวัญ</t>
  </si>
  <si>
    <t>นฤมล เอาะเบาะ</t>
  </si>
  <si>
    <t>มิน</t>
  </si>
  <si>
    <t xml:space="preserve">ชุติมา บุบผชาติ </t>
  </si>
  <si>
    <t>บีบี</t>
  </si>
  <si>
    <t xml:space="preserve">ญาณิศา กุมรัมย์ </t>
  </si>
  <si>
    <t>มิ้น</t>
  </si>
  <si>
    <t xml:space="preserve">นฤมล   สิถิลวรรณ </t>
  </si>
  <si>
    <t>นิ่ม</t>
  </si>
  <si>
    <t>ศศิธร มังคะลา</t>
  </si>
  <si>
    <t>กัญญารัตน์ ไชยศรีษะ</t>
  </si>
  <si>
    <t>ญา</t>
  </si>
  <si>
    <t>วัชรากร สิถิลวรรณ</t>
  </si>
  <si>
    <t>แบงค์</t>
  </si>
  <si>
    <t>อัจฉริยา  เข็มกำเนิด</t>
  </si>
  <si>
    <t>ครีม</t>
  </si>
  <si>
    <t>ยุพาพร จารุสิน</t>
  </si>
  <si>
    <t>ยูกิ</t>
  </si>
  <si>
    <t>กัณหา  วรรณกี้</t>
  </si>
  <si>
    <t>มด</t>
  </si>
  <si>
    <t xml:space="preserve">พรทิพย์ คูณทวี </t>
  </si>
  <si>
    <t>หนิง</t>
  </si>
  <si>
    <t>ทองพูล  ยาเลิศ</t>
  </si>
  <si>
    <t>น้อง</t>
  </si>
  <si>
    <t xml:space="preserve">กิติยาพร สายโยธา  </t>
  </si>
  <si>
    <t>ออมสิน</t>
  </si>
  <si>
    <t>อนุธิดา นิดเกด</t>
  </si>
  <si>
    <t>วิว</t>
  </si>
  <si>
    <t>สุกัญญา เหมสังหาร</t>
  </si>
  <si>
    <t xml:space="preserve"> แนน</t>
  </si>
  <si>
    <t>สุวิชาดา เรืองศรี</t>
  </si>
  <si>
    <t>จุ๋ม</t>
  </si>
  <si>
    <t>พิกุลทอง สุทธิสอน</t>
  </si>
  <si>
    <t>ติง</t>
  </si>
  <si>
    <t>0037686</t>
  </si>
  <si>
    <t>สุธาดล เงานอ</t>
  </si>
  <si>
    <t>ฟีมล์</t>
  </si>
  <si>
    <t>ธนานุวัฒน์ พงษ์วิเศษ</t>
  </si>
  <si>
    <t>เต๋า</t>
  </si>
  <si>
    <t>วรรณา  คำทอง</t>
  </si>
  <si>
    <t>ปลา</t>
  </si>
  <si>
    <t xml:space="preserve">ศุภชัย  แพนกาง  </t>
  </si>
  <si>
    <t>ก็อต</t>
  </si>
  <si>
    <t xml:space="preserve">ปาริชาติ  ธาตุไชย์  </t>
  </si>
  <si>
    <t>แพรว</t>
  </si>
  <si>
    <t>วรัญญา ประยูรสมบัติ</t>
  </si>
  <si>
    <t>เนย</t>
  </si>
  <si>
    <t>นภัสสร จรรยาขาม</t>
  </si>
  <si>
    <t>เบนซ์</t>
  </si>
  <si>
    <t>ข</t>
  </si>
  <si>
    <t>ศรารัตน์  ปั้นคล้าย</t>
  </si>
  <si>
    <t>ต้อง</t>
  </si>
  <si>
    <t>0193329</t>
  </si>
  <si>
    <t>รัตนา ทักษิณ</t>
  </si>
  <si>
    <t>นี</t>
  </si>
  <si>
    <t>บวรลักษณ์ ทักษิณ</t>
  </si>
  <si>
    <t>เกะ</t>
  </si>
  <si>
    <t>ณัฐชยา ชวนอาจ</t>
  </si>
  <si>
    <t>เอ</t>
  </si>
  <si>
    <t>จุฑารัตน์ บรรณารักษ์</t>
  </si>
  <si>
    <t>ปาน</t>
  </si>
  <si>
    <t>วันเฉลิม  หมวกเทศ</t>
  </si>
  <si>
    <t>วัน</t>
  </si>
  <si>
    <t>ลาวัณย์  พลไชย</t>
  </si>
  <si>
    <t>เบญ</t>
  </si>
  <si>
    <t>พวงมะลัย พิมพิชัย</t>
  </si>
  <si>
    <t>พวง</t>
  </si>
  <si>
    <t xml:space="preserve">จิรายุทธ  ขุนศักดิ์ </t>
  </si>
  <si>
    <t>เกมส์</t>
  </si>
  <si>
    <t>พงศ์พันธ์ บุญมา</t>
  </si>
  <si>
    <t>นาย</t>
  </si>
  <si>
    <t>ธนวันต์ มีโชค</t>
  </si>
  <si>
    <t>กอล์ฟ</t>
  </si>
  <si>
    <t>ทิวัตถ์ ขันคำ</t>
  </si>
  <si>
    <t>โอม</t>
  </si>
  <si>
    <t>ธีรภัทร  แก้วเนตร</t>
  </si>
  <si>
    <t>กีตาร์</t>
  </si>
  <si>
    <t>ชยานันต์ พิมพรัตน์</t>
  </si>
  <si>
    <t>ไข่มุก</t>
  </si>
  <si>
    <t>รัฐภูมิ  เวชกามา</t>
  </si>
  <si>
    <t>เอส</t>
  </si>
  <si>
    <t>H</t>
  </si>
  <si>
    <t>ออมใหญ่</t>
  </si>
  <si>
    <t>ออมเล็ก</t>
  </si>
  <si>
    <t>ป</t>
  </si>
  <si>
    <t>ก</t>
  </si>
  <si>
    <t>นิคม  สิถิลวรรณ</t>
  </si>
  <si>
    <t>คม</t>
  </si>
  <si>
    <t>ผู้จัดการแผนก</t>
  </si>
  <si>
    <t>A200</t>
  </si>
  <si>
    <t>สล</t>
  </si>
  <si>
    <t>CB</t>
  </si>
  <si>
    <t>ดรุณี เสริฐนวลสวัสดิ์</t>
  </si>
  <si>
    <t>เฟิร์น</t>
  </si>
  <si>
    <t>A500</t>
  </si>
  <si>
    <t>อ.</t>
  </si>
  <si>
    <t>พ.</t>
  </si>
  <si>
    <t>พฤ.</t>
  </si>
  <si>
    <t>ศ.</t>
  </si>
  <si>
    <t>ส.</t>
  </si>
  <si>
    <t>อา.</t>
  </si>
  <si>
    <t>จ.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</si>
</sst>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  <font>
      <b/>
      <sz val="9"/>
      <color rgb="FF000000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8"/>
      <name val="Tahoma"/>
      <family val="2"/>
      <scheme val="minor"/>
    </font>
    <font>
      <b/>
      <sz val="10"/>
      <name val="Tahoma"/>
      <family val="2"/>
      <scheme val="minor"/>
    </font>
    <font>
      <sz val="11"/>
      <color rgb="FF242424"/>
      <name val="Aptos Narrow"/>
      <charset val="1"/>
    </font>
    <font>
      <b/>
      <sz val="8"/>
      <color rgb="FFFFFFFF"/>
      <name val="Tahoma"/>
      <family val="2"/>
    </font>
    <font>
      <sz val="8"/>
      <name val="Tahoma"/>
      <family val="2"/>
      <charset val="222"/>
      <scheme val="minor"/>
    </font>
    <font>
      <sz val="8"/>
      <name val="Tahoma"/>
      <family val="2"/>
      <scheme val="minor"/>
    </font>
    <font>
      <sz val="8"/>
      <color rgb="FF0000FF"/>
      <name val="Tahoma"/>
      <family val="2"/>
      <charset val="222"/>
      <scheme val="minor"/>
    </font>
    <font>
      <sz val="8"/>
      <color rgb="FFFF0000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  <font>
      <sz val="8"/>
      <color rgb="FF000000"/>
      <name val="Tahoma"/>
      <family val="2"/>
      <charset val="222"/>
      <scheme val="minor"/>
    </font>
    <font>
      <b/>
      <sz val="8"/>
      <color rgb="FFFFFFFF"/>
      <name val="Tahoma"/>
      <family val="2"/>
      <charset val="222"/>
    </font>
    <font>
      <b/>
      <sz val="8"/>
      <name val="Tahoma"/>
      <family val="2"/>
      <charset val="222"/>
    </font>
    <font>
      <sz val="8"/>
      <name val="Tahoma"/>
      <scheme val="minor"/>
    </font>
    <font>
      <sz val="8"/>
      <color rgb="FF0000FF"/>
      <name val="Tahoma"/>
      <scheme val="minor"/>
    </font>
    <font>
      <sz val="8"/>
      <name val="Tahoma"/>
    </font>
    <font>
      <sz val="8"/>
      <color rgb="FF00B050"/>
      <name val="Tahoma"/>
      <scheme val="minor"/>
    </font>
    <font>
      <sz val="8"/>
      <color rgb="FF00B050"/>
      <name val="Tahoma"/>
      <family val="2"/>
      <charset val="222"/>
      <scheme val="minor"/>
    </font>
    <font>
      <b/>
      <sz val="8"/>
      <color rgb="FFFFFFFF"/>
      <name val="Tahoma"/>
      <family val="2"/>
      <charset val="222"/>
      <scheme val="minor"/>
    </font>
    <font>
      <b/>
      <sz val="8"/>
      <name val="Tahoma"/>
      <family val="2"/>
      <charset val="222"/>
      <scheme val="minor"/>
    </font>
    <font>
      <b/>
      <sz val="8"/>
      <color rgb="FFFF0000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886CC"/>
        <bgColor indexed="64"/>
      </patternFill>
    </fill>
    <fill>
      <patternFill patternType="solid">
        <fgColor rgb="FFFF505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9933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933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CFF"/>
        <bgColor rgb="FF000000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1" fillId="0" borderId="0"/>
  </cellStyleXfs>
  <cellXfs count="374">
    <xf numFmtId="0" fontId="0" fillId="0" borderId="0" xfId="0"/>
    <xf numFmtId="0" fontId="2" fillId="0" borderId="0" xfId="0" applyFont="1" applyAlignment="1">
      <alignment vertical="center"/>
    </xf>
    <xf numFmtId="16" fontId="8" fillId="4" borderId="2" xfId="2" applyNumberFormat="1" applyFont="1" applyFill="1" applyBorder="1" applyAlignment="1">
      <alignment horizontal="center" vertical="center"/>
    </xf>
    <xf numFmtId="0" fontId="0" fillId="0" borderId="0" xfId="0"/>
    <xf numFmtId="14" fontId="0" fillId="0" borderId="0" xfId="0" applyNumberFormat="1"/>
    <xf numFmtId="14" fontId="9" fillId="0" borderId="0" xfId="0" applyNumberFormat="1" applyFont="1"/>
    <xf numFmtId="0" fontId="0" fillId="3" borderId="0" xfId="0" applyFill="1"/>
    <xf numFmtId="0" fontId="10" fillId="8" borderId="3" xfId="0" applyFont="1" applyFill="1" applyBorder="1" applyAlignment="1"/>
    <xf numFmtId="0" fontId="12" fillId="9" borderId="6" xfId="1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1" fillId="13" borderId="27" xfId="0" applyFont="1" applyFill="1" applyBorder="1" applyAlignment="1">
      <alignment horizontal="center" vertical="center"/>
    </xf>
    <xf numFmtId="0" fontId="11" fillId="11" borderId="6" xfId="1" applyFont="1" applyFill="1" applyBorder="1" applyAlignment="1">
      <alignment horizontal="center" vertical="center"/>
    </xf>
    <xf numFmtId="0" fontId="11" fillId="11" borderId="6" xfId="1" applyFont="1" applyFill="1" applyBorder="1" applyAlignment="1">
      <alignment horizontal="left" vertical="center"/>
    </xf>
    <xf numFmtId="0" fontId="11" fillId="13" borderId="31" xfId="0" applyFont="1" applyFill="1" applyBorder="1" applyAlignment="1">
      <alignment horizontal="center" vertical="center"/>
    </xf>
    <xf numFmtId="0" fontId="15" fillId="2" borderId="31" xfId="2" applyFont="1" applyFill="1" applyBorder="1" applyAlignment="1">
      <alignment horizontal="center" vertical="center"/>
    </xf>
    <xf numFmtId="0" fontId="17" fillId="8" borderId="3" xfId="0" applyFont="1" applyFill="1" applyBorder="1" applyAlignment="1"/>
    <xf numFmtId="0" fontId="18" fillId="17" borderId="3" xfId="0" applyFont="1" applyFill="1" applyBorder="1" applyAlignment="1"/>
    <xf numFmtId="0" fontId="17" fillId="7" borderId="3" xfId="0" applyFont="1" applyFill="1" applyBorder="1" applyAlignment="1"/>
    <xf numFmtId="0" fontId="17" fillId="8" borderId="30" xfId="0" applyFont="1" applyFill="1" applyBorder="1" applyAlignment="1"/>
    <xf numFmtId="0" fontId="17" fillId="8" borderId="19" xfId="0" applyFont="1" applyFill="1" applyBorder="1" applyAlignment="1"/>
    <xf numFmtId="16" fontId="7" fillId="3" borderId="20" xfId="2" applyNumberFormat="1" applyFont="1" applyFill="1" applyBorder="1" applyAlignment="1">
      <alignment horizontal="center" vertical="center"/>
    </xf>
    <xf numFmtId="0" fontId="12" fillId="10" borderId="6" xfId="1" applyFont="1" applyFill="1" applyBorder="1" applyAlignment="1">
      <alignment horizontal="center" vertical="center"/>
    </xf>
    <xf numFmtId="0" fontId="12" fillId="14" borderId="6" xfId="1" applyFont="1" applyFill="1" applyBorder="1" applyAlignment="1">
      <alignment horizontal="center" vertical="center"/>
    </xf>
    <xf numFmtId="0" fontId="11" fillId="15" borderId="2" xfId="3" applyFont="1" applyFill="1" applyBorder="1" applyAlignment="1">
      <alignment horizontal="center" vertical="center"/>
    </xf>
    <xf numFmtId="0" fontId="11" fillId="15" borderId="33" xfId="3" applyFont="1" applyFill="1" applyBorder="1" applyAlignment="1">
      <alignment horizontal="left" vertical="center"/>
    </xf>
    <xf numFmtId="0" fontId="11" fillId="15" borderId="33" xfId="3" applyFont="1" applyFill="1" applyBorder="1" applyAlignment="1">
      <alignment horizontal="center" vertical="center"/>
    </xf>
    <xf numFmtId="0" fontId="11" fillId="11" borderId="5" xfId="1" applyFont="1" applyFill="1" applyBorder="1" applyAlignment="1">
      <alignment horizontal="center" vertical="center"/>
    </xf>
    <xf numFmtId="0" fontId="11" fillId="15" borderId="6" xfId="3" applyFont="1" applyFill="1" applyBorder="1" applyAlignment="1">
      <alignment horizontal="center" vertical="center"/>
    </xf>
    <xf numFmtId="0" fontId="11" fillId="15" borderId="11" xfId="3" applyFont="1" applyFill="1" applyBorder="1" applyAlignment="1">
      <alignment horizontal="center" vertical="center"/>
    </xf>
    <xf numFmtId="0" fontId="11" fillId="12" borderId="31" xfId="1" applyFont="1" applyFill="1" applyBorder="1" applyAlignment="1">
      <alignment horizontal="center" vertical="center"/>
    </xf>
    <xf numFmtId="0" fontId="11" fillId="12" borderId="5" xfId="1" applyFont="1" applyFill="1" applyBorder="1" applyAlignment="1">
      <alignment horizontal="center" vertical="center"/>
    </xf>
    <xf numFmtId="0" fontId="11" fillId="12" borderId="6" xfId="1" applyFont="1" applyFill="1" applyBorder="1" applyAlignment="1">
      <alignment horizontal="left" vertical="center"/>
    </xf>
    <xf numFmtId="0" fontId="11" fillId="12" borderId="6" xfId="1" applyFont="1" applyFill="1" applyBorder="1" applyAlignment="1">
      <alignment horizontal="center" vertical="center"/>
    </xf>
    <xf numFmtId="0" fontId="11" fillId="12" borderId="2" xfId="1" applyFont="1" applyFill="1" applyBorder="1" applyAlignment="1">
      <alignment horizontal="center" vertical="center"/>
    </xf>
    <xf numFmtId="0" fontId="11" fillId="12" borderId="33" xfId="1" applyFont="1" applyFill="1" applyBorder="1" applyAlignment="1">
      <alignment horizontal="left" vertical="center"/>
    </xf>
    <xf numFmtId="0" fontId="11" fillId="12" borderId="33" xfId="1" applyFont="1" applyFill="1" applyBorder="1" applyAlignment="1">
      <alignment horizontal="center" vertical="center"/>
    </xf>
    <xf numFmtId="0" fontId="12" fillId="10" borderId="3" xfId="1" applyFont="1" applyFill="1" applyBorder="1" applyAlignment="1">
      <alignment horizontal="center" vertical="center"/>
    </xf>
    <xf numFmtId="0" fontId="11" fillId="14" borderId="33" xfId="1" applyFont="1" applyFill="1" applyBorder="1" applyAlignment="1">
      <alignment horizontal="center" vertical="center"/>
    </xf>
    <xf numFmtId="0" fontId="11" fillId="9" borderId="5" xfId="1" applyFont="1" applyFill="1" applyBorder="1" applyAlignment="1">
      <alignment horizontal="center" vertical="center"/>
    </xf>
    <xf numFmtId="0" fontId="11" fillId="9" borderId="6" xfId="1" applyFont="1" applyFill="1" applyBorder="1" applyAlignment="1">
      <alignment horizontal="left" vertical="center"/>
    </xf>
    <xf numFmtId="0" fontId="11" fillId="3" borderId="0" xfId="1" applyFont="1" applyFill="1" applyBorder="1" applyAlignment="1">
      <alignment horizontal="center" vertical="center"/>
    </xf>
    <xf numFmtId="0" fontId="11" fillId="3" borderId="0" xfId="1" applyFont="1" applyFill="1" applyBorder="1" applyAlignment="1">
      <alignment horizontal="left" vertical="center"/>
    </xf>
    <xf numFmtId="0" fontId="12" fillId="3" borderId="0" xfId="1" applyFont="1" applyFill="1" applyBorder="1" applyAlignment="1">
      <alignment horizontal="center" vertical="center"/>
    </xf>
    <xf numFmtId="0" fontId="16" fillId="3" borderId="37" xfId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 vertical="center"/>
    </xf>
    <xf numFmtId="0" fontId="20" fillId="12" borderId="31" xfId="0" applyFont="1" applyFill="1" applyBorder="1" applyAlignment="1">
      <alignment horizontal="center" vertical="center"/>
    </xf>
    <xf numFmtId="0" fontId="20" fillId="12" borderId="27" xfId="0" applyFont="1" applyFill="1" applyBorder="1" applyAlignment="1">
      <alignment horizontal="center" vertical="center"/>
    </xf>
    <xf numFmtId="0" fontId="20" fillId="12" borderId="26" xfId="0" applyFont="1" applyFill="1" applyBorder="1" applyAlignment="1">
      <alignment horizontal="center" vertical="center"/>
    </xf>
    <xf numFmtId="0" fontId="20" fillId="12" borderId="11" xfId="0" applyFont="1" applyFill="1" applyBorder="1" applyAlignment="1">
      <alignment horizontal="center" vertical="center"/>
    </xf>
    <xf numFmtId="0" fontId="21" fillId="13" borderId="6" xfId="0" applyFont="1" applyFill="1" applyBorder="1" applyAlignment="1">
      <alignment horizontal="center" vertical="center"/>
    </xf>
    <xf numFmtId="0" fontId="21" fillId="13" borderId="27" xfId="0" applyFont="1" applyFill="1" applyBorder="1" applyAlignment="1">
      <alignment horizontal="center" vertical="center"/>
    </xf>
    <xf numFmtId="0" fontId="15" fillId="2" borderId="3" xfId="2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5" fillId="2" borderId="33" xfId="2" applyFont="1" applyFill="1" applyBorder="1" applyAlignment="1">
      <alignment horizontal="center" vertical="center"/>
    </xf>
    <xf numFmtId="0" fontId="15" fillId="2" borderId="6" xfId="2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5" fillId="2" borderId="11" xfId="2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1" fillId="10" borderId="43" xfId="1" applyFont="1" applyFill="1" applyBorder="1" applyAlignment="1">
      <alignment horizontal="center" vertical="center"/>
    </xf>
    <xf numFmtId="0" fontId="11" fillId="10" borderId="44" xfId="1" applyFont="1" applyFill="1" applyBorder="1" applyAlignment="1">
      <alignment horizontal="left" vertical="center"/>
    </xf>
    <xf numFmtId="0" fontId="11" fillId="10" borderId="44" xfId="1" applyFont="1" applyFill="1" applyBorder="1" applyAlignment="1">
      <alignment horizontal="center" vertical="center"/>
    </xf>
    <xf numFmtId="49" fontId="11" fillId="14" borderId="35" xfId="1" applyNumberFormat="1" applyFont="1" applyFill="1" applyBorder="1" applyAlignment="1">
      <alignment horizontal="center" vertical="center"/>
    </xf>
    <xf numFmtId="0" fontId="11" fillId="14" borderId="8" xfId="1" applyFont="1" applyFill="1" applyBorder="1" applyAlignment="1">
      <alignment horizontal="left" vertical="center"/>
    </xf>
    <xf numFmtId="0" fontId="11" fillId="14" borderId="8" xfId="1" applyFont="1" applyFill="1" applyBorder="1" applyAlignment="1">
      <alignment horizontal="center" vertical="center"/>
    </xf>
    <xf numFmtId="0" fontId="11" fillId="9" borderId="6" xfId="1" applyFont="1" applyFill="1" applyBorder="1" applyAlignment="1">
      <alignment horizontal="center" vertical="center"/>
    </xf>
    <xf numFmtId="0" fontId="11" fillId="15" borderId="32" xfId="3" applyFont="1" applyFill="1" applyBorder="1" applyAlignment="1">
      <alignment horizontal="center" vertical="center"/>
    </xf>
    <xf numFmtId="0" fontId="11" fillId="15" borderId="11" xfId="3" applyFont="1" applyFill="1" applyBorder="1" applyAlignment="1">
      <alignment horizontal="left" vertical="center"/>
    </xf>
    <xf numFmtId="0" fontId="11" fillId="11" borderId="10" xfId="1" applyFont="1" applyFill="1" applyBorder="1" applyAlignment="1">
      <alignment horizontal="center" vertical="center"/>
    </xf>
    <xf numFmtId="0" fontId="11" fillId="11" borderId="31" xfId="1" applyFont="1" applyFill="1" applyBorder="1" applyAlignment="1">
      <alignment horizontal="left" vertical="center"/>
    </xf>
    <xf numFmtId="0" fontId="11" fillId="11" borderId="31" xfId="1" applyFont="1" applyFill="1" applyBorder="1" applyAlignment="1">
      <alignment horizontal="center" vertical="center"/>
    </xf>
    <xf numFmtId="0" fontId="11" fillId="11" borderId="43" xfId="1" applyFont="1" applyFill="1" applyBorder="1" applyAlignment="1">
      <alignment horizontal="center" vertical="center"/>
    </xf>
    <xf numFmtId="0" fontId="11" fillId="11" borderId="44" xfId="1" applyFont="1" applyFill="1" applyBorder="1" applyAlignment="1">
      <alignment horizontal="left" vertical="center"/>
    </xf>
    <xf numFmtId="0" fontId="11" fillId="11" borderId="44" xfId="1" applyFont="1" applyFill="1" applyBorder="1" applyAlignment="1">
      <alignment horizontal="center" vertical="center"/>
    </xf>
    <xf numFmtId="0" fontId="11" fillId="11" borderId="33" xfId="1" applyFont="1" applyFill="1" applyBorder="1" applyAlignment="1">
      <alignment horizontal="center" vertical="center"/>
    </xf>
    <xf numFmtId="0" fontId="11" fillId="15" borderId="4" xfId="3" applyFont="1" applyFill="1" applyBorder="1" applyAlignment="1">
      <alignment horizontal="center" vertical="center"/>
    </xf>
    <xf numFmtId="0" fontId="11" fillId="15" borderId="3" xfId="3" applyFont="1" applyFill="1" applyBorder="1" applyAlignment="1">
      <alignment horizontal="left" vertical="center"/>
    </xf>
    <xf numFmtId="0" fontId="11" fillId="15" borderId="3" xfId="3" applyFont="1" applyFill="1" applyBorder="1" applyAlignment="1">
      <alignment horizontal="center" vertical="center"/>
    </xf>
    <xf numFmtId="0" fontId="11" fillId="15" borderId="5" xfId="3" applyFont="1" applyFill="1" applyBorder="1" applyAlignment="1">
      <alignment horizontal="center" vertical="center"/>
    </xf>
    <xf numFmtId="0" fontId="11" fillId="15" borderId="6" xfId="3" applyFont="1" applyFill="1" applyBorder="1" applyAlignment="1">
      <alignment horizontal="left" vertical="center"/>
    </xf>
    <xf numFmtId="0" fontId="11" fillId="12" borderId="10" xfId="1" applyFont="1" applyFill="1" applyBorder="1" applyAlignment="1">
      <alignment horizontal="center" vertical="center"/>
    </xf>
    <xf numFmtId="0" fontId="11" fillId="12" borderId="31" xfId="1" applyFont="1" applyFill="1" applyBorder="1" applyAlignment="1">
      <alignment horizontal="left" vertical="center"/>
    </xf>
    <xf numFmtId="0" fontId="11" fillId="10" borderId="5" xfId="1" applyFont="1" applyFill="1" applyBorder="1" applyAlignment="1">
      <alignment horizontal="center" vertical="center"/>
    </xf>
    <xf numFmtId="0" fontId="11" fillId="10" borderId="6" xfId="1" applyFont="1" applyFill="1" applyBorder="1" applyAlignment="1">
      <alignment horizontal="left" vertical="center"/>
    </xf>
    <xf numFmtId="0" fontId="11" fillId="10" borderId="6" xfId="1" applyFont="1" applyFill="1" applyBorder="1" applyAlignment="1">
      <alignment horizontal="center" vertical="center"/>
    </xf>
    <xf numFmtId="0" fontId="12" fillId="10" borderId="33" xfId="1" applyFont="1" applyFill="1" applyBorder="1" applyAlignment="1">
      <alignment horizontal="center" vertical="center"/>
    </xf>
    <xf numFmtId="0" fontId="11" fillId="14" borderId="45" xfId="1" applyFont="1" applyFill="1" applyBorder="1" applyAlignment="1">
      <alignment horizontal="center" vertical="center"/>
    </xf>
    <xf numFmtId="0" fontId="11" fillId="14" borderId="46" xfId="1" applyFont="1" applyFill="1" applyBorder="1" applyAlignment="1">
      <alignment horizontal="left" vertical="center"/>
    </xf>
    <xf numFmtId="0" fontId="11" fillId="14" borderId="46" xfId="1" applyFont="1" applyFill="1" applyBorder="1" applyAlignment="1">
      <alignment horizontal="center" vertical="center"/>
    </xf>
    <xf numFmtId="0" fontId="12" fillId="14" borderId="3" xfId="1" applyFont="1" applyFill="1" applyBorder="1" applyAlignment="1">
      <alignment horizontal="center" vertical="center"/>
    </xf>
    <xf numFmtId="0" fontId="11" fillId="14" borderId="35" xfId="1" applyFont="1" applyFill="1" applyBorder="1" applyAlignment="1">
      <alignment horizontal="center" vertical="center"/>
    </xf>
    <xf numFmtId="0" fontId="11" fillId="14" borderId="43" xfId="1" applyFont="1" applyFill="1" applyBorder="1" applyAlignment="1">
      <alignment horizontal="center" vertical="center"/>
    </xf>
    <xf numFmtId="0" fontId="11" fillId="14" borderId="44" xfId="1" applyFont="1" applyFill="1" applyBorder="1" applyAlignment="1">
      <alignment horizontal="left" vertical="center"/>
    </xf>
    <xf numFmtId="0" fontId="11" fillId="14" borderId="44" xfId="1" applyFont="1" applyFill="1" applyBorder="1" applyAlignment="1">
      <alignment horizontal="center" vertical="center"/>
    </xf>
    <xf numFmtId="0" fontId="12" fillId="9" borderId="31" xfId="1" applyFont="1" applyFill="1" applyBorder="1" applyAlignment="1">
      <alignment horizontal="center" vertical="center"/>
    </xf>
    <xf numFmtId="0" fontId="11" fillId="9" borderId="10" xfId="1" applyFont="1" applyFill="1" applyBorder="1" applyAlignment="1">
      <alignment horizontal="center" vertical="center"/>
    </xf>
    <xf numFmtId="0" fontId="11" fillId="9" borderId="31" xfId="1" applyFont="1" applyFill="1" applyBorder="1" applyAlignment="1">
      <alignment horizontal="left" vertical="center"/>
    </xf>
    <xf numFmtId="0" fontId="11" fillId="9" borderId="31" xfId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center" vertical="center"/>
    </xf>
    <xf numFmtId="0" fontId="11" fillId="9" borderId="33" xfId="1" applyFont="1" applyFill="1" applyBorder="1" applyAlignment="1">
      <alignment horizontal="left" vertical="center"/>
    </xf>
    <xf numFmtId="0" fontId="11" fillId="9" borderId="33" xfId="1" applyFont="1" applyFill="1" applyBorder="1" applyAlignment="1">
      <alignment horizontal="center" vertical="center"/>
    </xf>
    <xf numFmtId="0" fontId="12" fillId="9" borderId="33" xfId="1" applyFont="1" applyFill="1" applyBorder="1" applyAlignment="1">
      <alignment horizontal="center" vertical="center"/>
    </xf>
    <xf numFmtId="0" fontId="20" fillId="12" borderId="33" xfId="0" applyFont="1" applyFill="1" applyBorder="1" applyAlignment="1">
      <alignment horizontal="center" vertical="center"/>
    </xf>
    <xf numFmtId="0" fontId="20" fillId="12" borderId="30" xfId="0" applyFont="1" applyFill="1" applyBorder="1" applyAlignment="1">
      <alignment horizontal="center" vertical="center"/>
    </xf>
    <xf numFmtId="0" fontId="13" fillId="16" borderId="31" xfId="0" applyFont="1" applyFill="1" applyBorder="1" applyAlignment="1">
      <alignment horizontal="center" vertical="center"/>
    </xf>
    <xf numFmtId="0" fontId="15" fillId="2" borderId="27" xfId="2" applyFont="1" applyFill="1" applyBorder="1" applyAlignment="1">
      <alignment horizontal="center" vertical="center"/>
    </xf>
    <xf numFmtId="0" fontId="13" fillId="16" borderId="6" xfId="0" applyFont="1" applyFill="1" applyBorder="1" applyAlignment="1">
      <alignment horizontal="center" vertical="center"/>
    </xf>
    <xf numFmtId="0" fontId="11" fillId="13" borderId="33" xfId="0" applyFont="1" applyFill="1" applyBorder="1" applyAlignment="1">
      <alignment horizontal="center" vertical="center"/>
    </xf>
    <xf numFmtId="0" fontId="13" fillId="16" borderId="11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  <xf numFmtId="0" fontId="13" fillId="16" borderId="28" xfId="0" applyFont="1" applyFill="1" applyBorder="1" applyAlignment="1">
      <alignment horizontal="center" vertical="center"/>
    </xf>
    <xf numFmtId="0" fontId="11" fillId="13" borderId="29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3" fillId="12" borderId="31" xfId="0" applyFont="1" applyFill="1" applyBorder="1" applyAlignment="1">
      <alignment horizontal="center" vertical="center"/>
    </xf>
    <xf numFmtId="0" fontId="13" fillId="12" borderId="29" xfId="0" applyFont="1" applyFill="1" applyBorder="1" applyAlignment="1">
      <alignment horizontal="center" vertical="center"/>
    </xf>
    <xf numFmtId="0" fontId="13" fillId="12" borderId="27" xfId="0" applyFont="1" applyFill="1" applyBorder="1" applyAlignment="1">
      <alignment horizontal="center" vertical="center"/>
    </xf>
    <xf numFmtId="0" fontId="14" fillId="3" borderId="31" xfId="0" applyFont="1" applyFill="1" applyBorder="1" applyAlignment="1">
      <alignment horizontal="center" vertical="center"/>
    </xf>
    <xf numFmtId="0" fontId="15" fillId="2" borderId="26" xfId="2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13" fillId="16" borderId="33" xfId="0" applyFont="1" applyFill="1" applyBorder="1" applyAlignment="1">
      <alignment horizontal="center" vertical="center"/>
    </xf>
    <xf numFmtId="0" fontId="13" fillId="16" borderId="26" xfId="0" applyFont="1" applyFill="1" applyBorder="1" applyAlignment="1">
      <alignment horizontal="center" vertical="center"/>
    </xf>
    <xf numFmtId="0" fontId="12" fillId="12" borderId="31" xfId="1" applyFont="1" applyFill="1" applyBorder="1" applyAlignment="1">
      <alignment horizontal="center" vertical="center"/>
    </xf>
    <xf numFmtId="49" fontId="11" fillId="10" borderId="45" xfId="1" applyNumberFormat="1" applyFont="1" applyFill="1" applyBorder="1" applyAlignment="1">
      <alignment horizontal="center" vertical="center"/>
    </xf>
    <xf numFmtId="0" fontId="11" fillId="10" borderId="46" xfId="1" applyFont="1" applyFill="1" applyBorder="1" applyAlignment="1">
      <alignment horizontal="left" vertical="center"/>
    </xf>
    <xf numFmtId="0" fontId="11" fillId="10" borderId="46" xfId="1" applyFont="1" applyFill="1" applyBorder="1" applyAlignment="1">
      <alignment horizontal="center" vertical="center"/>
    </xf>
    <xf numFmtId="0" fontId="11" fillId="10" borderId="35" xfId="1" applyFont="1" applyFill="1" applyBorder="1" applyAlignment="1">
      <alignment horizontal="center" vertical="center"/>
    </xf>
    <xf numFmtId="0" fontId="11" fillId="10" borderId="8" xfId="1" applyFont="1" applyFill="1" applyBorder="1" applyAlignment="1">
      <alignment horizontal="left" vertical="center"/>
    </xf>
    <xf numFmtId="0" fontId="11" fillId="10" borderId="8" xfId="1" applyFont="1" applyFill="1" applyBorder="1" applyAlignment="1">
      <alignment horizontal="center" vertical="center"/>
    </xf>
    <xf numFmtId="0" fontId="11" fillId="10" borderId="48" xfId="1" applyFont="1" applyFill="1" applyBorder="1" applyAlignment="1">
      <alignment horizontal="center" vertical="center"/>
    </xf>
    <xf numFmtId="0" fontId="11" fillId="10" borderId="49" xfId="1" applyFont="1" applyFill="1" applyBorder="1" applyAlignment="1">
      <alignment horizontal="left" vertical="center"/>
    </xf>
    <xf numFmtId="0" fontId="11" fillId="10" borderId="49" xfId="1" applyFont="1" applyFill="1" applyBorder="1" applyAlignment="1">
      <alignment horizontal="center" vertical="center"/>
    </xf>
    <xf numFmtId="0" fontId="12" fillId="10" borderId="31" xfId="1" applyFont="1" applyFill="1" applyBorder="1" applyAlignment="1">
      <alignment horizontal="center" vertical="center"/>
    </xf>
    <xf numFmtId="0" fontId="12" fillId="9" borderId="4" xfId="1" applyFont="1" applyFill="1" applyBorder="1" applyAlignment="1">
      <alignment horizontal="center" vertical="center"/>
    </xf>
    <xf numFmtId="0" fontId="12" fillId="9" borderId="3" xfId="1" applyFont="1" applyFill="1" applyBorder="1" applyAlignment="1">
      <alignment horizontal="left" vertical="center"/>
    </xf>
    <xf numFmtId="0" fontId="12" fillId="9" borderId="3" xfId="1" applyFont="1" applyFill="1" applyBorder="1" applyAlignment="1">
      <alignment horizontal="center" vertical="center"/>
    </xf>
    <xf numFmtId="0" fontId="11" fillId="9" borderId="11" xfId="1" applyFont="1" applyFill="1" applyBorder="1" applyAlignment="1">
      <alignment horizontal="left" vertical="center"/>
    </xf>
    <xf numFmtId="0" fontId="11" fillId="9" borderId="11" xfId="1" applyFont="1" applyFill="1" applyBorder="1" applyAlignment="1">
      <alignment horizontal="center" vertical="center"/>
    </xf>
    <xf numFmtId="0" fontId="12" fillId="9" borderId="11" xfId="1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5" fillId="2" borderId="53" xfId="2" applyFont="1" applyFill="1" applyBorder="1" applyAlignment="1">
      <alignment horizontal="center" vertical="center"/>
    </xf>
    <xf numFmtId="0" fontId="14" fillId="3" borderId="53" xfId="0" applyFont="1" applyFill="1" applyBorder="1" applyAlignment="1">
      <alignment horizontal="center" vertical="center"/>
    </xf>
    <xf numFmtId="0" fontId="11" fillId="13" borderId="53" xfId="0" applyFont="1" applyFill="1" applyBorder="1" applyAlignment="1">
      <alignment horizontal="center" vertical="center"/>
    </xf>
    <xf numFmtId="0" fontId="15" fillId="2" borderId="9" xfId="2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center" vertical="center"/>
    </xf>
    <xf numFmtId="0" fontId="15" fillId="2" borderId="34" xfId="2" applyFont="1" applyFill="1" applyBorder="1" applyAlignment="1">
      <alignment horizontal="center" vertical="center"/>
    </xf>
    <xf numFmtId="0" fontId="15" fillId="2" borderId="20" xfId="2" applyFont="1" applyFill="1" applyBorder="1" applyAlignment="1">
      <alignment horizontal="center" vertical="center"/>
    </xf>
    <xf numFmtId="0" fontId="11" fillId="13" borderId="30" xfId="0" applyFont="1" applyFill="1" applyBorder="1" applyAlignment="1">
      <alignment horizontal="center" vertical="center"/>
    </xf>
    <xf numFmtId="0" fontId="15" fillId="2" borderId="7" xfId="2" applyFont="1" applyFill="1" applyBorder="1" applyAlignment="1">
      <alignment horizontal="center" vertical="center"/>
    </xf>
    <xf numFmtId="0" fontId="11" fillId="13" borderId="21" xfId="0" applyFont="1" applyFill="1" applyBorder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0" fontId="15" fillId="2" borderId="54" xfId="2" applyFont="1" applyFill="1" applyBorder="1" applyAlignment="1">
      <alignment horizontal="center" vertical="center"/>
    </xf>
    <xf numFmtId="0" fontId="11" fillId="13" borderId="28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3" fillId="16" borderId="12" xfId="0" applyFont="1" applyFill="1" applyBorder="1" applyAlignment="1">
      <alignment horizontal="center" vertical="center"/>
    </xf>
    <xf numFmtId="0" fontId="15" fillId="2" borderId="29" xfId="2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14" fillId="3" borderId="33" xfId="0" applyFont="1" applyFill="1" applyBorder="1" applyAlignment="1">
      <alignment horizontal="center" vertical="center"/>
    </xf>
    <xf numFmtId="0" fontId="13" fillId="12" borderId="55" xfId="0" applyFont="1" applyFill="1" applyBorder="1" applyAlignment="1">
      <alignment horizontal="center" vertical="center"/>
    </xf>
    <xf numFmtId="0" fontId="20" fillId="12" borderId="52" xfId="0" applyFont="1" applyFill="1" applyBorder="1" applyAlignment="1">
      <alignment horizontal="center" vertical="center"/>
    </xf>
    <xf numFmtId="0" fontId="20" fillId="12" borderId="29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0" fontId="20" fillId="12" borderId="56" xfId="0" applyFont="1" applyFill="1" applyBorder="1" applyAlignment="1">
      <alignment horizontal="center" vertical="center"/>
    </xf>
    <xf numFmtId="0" fontId="13" fillId="12" borderId="33" xfId="0" applyFont="1" applyFill="1" applyBorder="1" applyAlignment="1">
      <alignment horizontal="center" vertical="center"/>
    </xf>
    <xf numFmtId="0" fontId="13" fillId="12" borderId="34" xfId="0" applyFont="1" applyFill="1" applyBorder="1" applyAlignment="1">
      <alignment horizontal="center" vertical="center"/>
    </xf>
    <xf numFmtId="0" fontId="15" fillId="2" borderId="50" xfId="2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3" fillId="12" borderId="50" xfId="0" applyFont="1" applyFill="1" applyBorder="1" applyAlignment="1">
      <alignment horizontal="center" vertical="center"/>
    </xf>
    <xf numFmtId="0" fontId="13" fillId="12" borderId="53" xfId="0" applyFont="1" applyFill="1" applyBorder="1" applyAlignment="1">
      <alignment horizontal="center" vertical="center"/>
    </xf>
    <xf numFmtId="0" fontId="15" fillId="2" borderId="47" xfId="2" applyFont="1" applyFill="1" applyBorder="1" applyAlignment="1">
      <alignment horizontal="center" vertical="center"/>
    </xf>
    <xf numFmtId="0" fontId="20" fillId="12" borderId="21" xfId="0" applyFont="1" applyFill="1" applyBorder="1" applyAlignment="1">
      <alignment horizontal="center" vertical="center"/>
    </xf>
    <xf numFmtId="0" fontId="11" fillId="13" borderId="26" xfId="0" applyFont="1" applyFill="1" applyBorder="1" applyAlignment="1">
      <alignment horizontal="center" vertical="center"/>
    </xf>
    <xf numFmtId="0" fontId="21" fillId="13" borderId="31" xfId="0" applyFont="1" applyFill="1" applyBorder="1" applyAlignment="1">
      <alignment horizontal="center" vertical="center"/>
    </xf>
    <xf numFmtId="0" fontId="13" fillId="12" borderId="30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0" fillId="12" borderId="51" xfId="0" applyFont="1" applyFill="1" applyBorder="1" applyAlignment="1">
      <alignment horizontal="center" vertical="center"/>
    </xf>
    <xf numFmtId="0" fontId="15" fillId="2" borderId="58" xfId="2" applyFont="1" applyFill="1" applyBorder="1" applyAlignment="1">
      <alignment horizontal="center" vertical="center"/>
    </xf>
    <xf numFmtId="0" fontId="15" fillId="2" borderId="36" xfId="2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/>
    </xf>
    <xf numFmtId="0" fontId="15" fillId="2" borderId="8" xfId="2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20" fillId="12" borderId="44" xfId="0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 vertical="center"/>
    </xf>
    <xf numFmtId="0" fontId="20" fillId="12" borderId="59" xfId="0" applyFont="1" applyFill="1" applyBorder="1" applyAlignment="1">
      <alignment horizontal="center" vertical="center"/>
    </xf>
    <xf numFmtId="0" fontId="20" fillId="12" borderId="60" xfId="0" applyFont="1" applyFill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3" fillId="12" borderId="37" xfId="0" applyFont="1" applyFill="1" applyBorder="1" applyAlignment="1">
      <alignment horizontal="center" vertical="center"/>
    </xf>
    <xf numFmtId="0" fontId="15" fillId="2" borderId="12" xfId="2" applyFont="1" applyFill="1" applyBorder="1" applyAlignment="1">
      <alignment horizontal="center" vertical="center"/>
    </xf>
    <xf numFmtId="0" fontId="11" fillId="13" borderId="54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3" fillId="16" borderId="8" xfId="0" applyFont="1" applyFill="1" applyBorder="1" applyAlignment="1">
      <alignment horizontal="center" vertical="center"/>
    </xf>
    <xf numFmtId="0" fontId="11" fillId="13" borderId="12" xfId="0" applyFont="1" applyFill="1" applyBorder="1" applyAlignment="1">
      <alignment horizontal="center" vertical="center"/>
    </xf>
    <xf numFmtId="0" fontId="14" fillId="18" borderId="6" xfId="0" applyFont="1" applyFill="1" applyBorder="1" applyAlignment="1">
      <alignment horizontal="center" vertical="center"/>
    </xf>
    <xf numFmtId="0" fontId="11" fillId="19" borderId="61" xfId="0" applyFont="1" applyFill="1" applyBorder="1" applyAlignment="1">
      <alignment horizontal="center" vertical="center"/>
    </xf>
    <xf numFmtId="0" fontId="11" fillId="19" borderId="62" xfId="0" applyFont="1" applyFill="1" applyBorder="1" applyAlignment="1">
      <alignment horizontal="left" vertical="center"/>
    </xf>
    <xf numFmtId="0" fontId="11" fillId="19" borderId="62" xfId="0" applyFont="1" applyFill="1" applyBorder="1" applyAlignment="1">
      <alignment horizontal="center" vertical="center"/>
    </xf>
    <xf numFmtId="0" fontId="11" fillId="19" borderId="6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3" fillId="20" borderId="6" xfId="0" applyFont="1" applyFill="1" applyBorder="1" applyAlignment="1">
      <alignment horizontal="center" vertical="center"/>
    </xf>
    <xf numFmtId="0" fontId="14" fillId="20" borderId="6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14" fillId="18" borderId="7" xfId="0" applyFont="1" applyFill="1" applyBorder="1" applyAlignment="1">
      <alignment horizontal="center" vertical="center"/>
    </xf>
    <xf numFmtId="0" fontId="16" fillId="21" borderId="6" xfId="0" applyFont="1" applyFill="1" applyBorder="1" applyAlignment="1">
      <alignment horizontal="center" vertical="center"/>
    </xf>
    <xf numFmtId="0" fontId="13" fillId="18" borderId="9" xfId="0" applyFont="1" applyFill="1" applyBorder="1" applyAlignment="1">
      <alignment horizontal="center" vertical="center"/>
    </xf>
    <xf numFmtId="0" fontId="13" fillId="20" borderId="9" xfId="0" applyFont="1" applyFill="1" applyBorder="1" applyAlignment="1">
      <alignment horizontal="center" vertical="center"/>
    </xf>
    <xf numFmtId="0" fontId="20" fillId="22" borderId="33" xfId="0" applyFont="1" applyFill="1" applyBorder="1" applyAlignment="1">
      <alignment horizontal="center" vertical="center"/>
    </xf>
    <xf numFmtId="0" fontId="13" fillId="20" borderId="27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3" fillId="20" borderId="11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3" fillId="20" borderId="51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/>
    </xf>
    <xf numFmtId="0" fontId="16" fillId="7" borderId="28" xfId="0" applyFont="1" applyFill="1" applyBorder="1" applyAlignment="1">
      <alignment horizontal="center" vertical="center"/>
    </xf>
    <xf numFmtId="0" fontId="16" fillId="7" borderId="63" xfId="0" applyFont="1" applyFill="1" applyBorder="1" applyAlignment="1">
      <alignment horizontal="center" vertical="center"/>
    </xf>
    <xf numFmtId="0" fontId="13" fillId="22" borderId="3" xfId="0" applyFont="1" applyFill="1" applyBorder="1" applyAlignment="1">
      <alignment horizontal="center" vertical="center"/>
    </xf>
    <xf numFmtId="0" fontId="11" fillId="23" borderId="3" xfId="0" applyFont="1" applyFill="1" applyBorder="1" applyAlignment="1">
      <alignment horizontal="center" vertical="center"/>
    </xf>
    <xf numFmtId="0" fontId="13" fillId="22" borderId="30" xfId="0" applyFont="1" applyFill="1" applyBorder="1" applyAlignment="1">
      <alignment horizontal="center" vertical="center"/>
    </xf>
    <xf numFmtId="0" fontId="11" fillId="23" borderId="7" xfId="0" applyFont="1" applyFill="1" applyBorder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0" fontId="13" fillId="22" borderId="6" xfId="0" applyFont="1" applyFill="1" applyBorder="1" applyAlignment="1">
      <alignment horizontal="center" vertical="center"/>
    </xf>
    <xf numFmtId="0" fontId="16" fillId="7" borderId="34" xfId="0" applyFont="1" applyFill="1" applyBorder="1" applyAlignment="1">
      <alignment horizontal="center" vertical="center"/>
    </xf>
    <xf numFmtId="0" fontId="11" fillId="23" borderId="27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6" fillId="7" borderId="26" xfId="0" applyFont="1" applyFill="1" applyBorder="1" applyAlignment="1">
      <alignment horizontal="center" vertical="center"/>
    </xf>
    <xf numFmtId="0" fontId="16" fillId="7" borderId="64" xfId="0" applyFont="1" applyFill="1" applyBorder="1" applyAlignment="1">
      <alignment horizontal="center" vertical="center"/>
    </xf>
    <xf numFmtId="0" fontId="13" fillId="22" borderId="27" xfId="0" applyFont="1" applyFill="1" applyBorder="1" applyAlignment="1">
      <alignment horizontal="center" vertical="center"/>
    </xf>
    <xf numFmtId="0" fontId="13" fillId="20" borderId="33" xfId="0" applyFont="1" applyFill="1" applyBorder="1" applyAlignment="1">
      <alignment horizontal="center" vertical="center"/>
    </xf>
    <xf numFmtId="0" fontId="13" fillId="20" borderId="12" xfId="0" applyFont="1" applyFill="1" applyBorder="1" applyAlignment="1">
      <alignment horizontal="center" vertical="center"/>
    </xf>
    <xf numFmtId="0" fontId="16" fillId="7" borderId="65" xfId="0" applyFont="1" applyFill="1" applyBorder="1" applyAlignment="1">
      <alignment horizontal="center" vertical="center"/>
    </xf>
    <xf numFmtId="0" fontId="13" fillId="20" borderId="26" xfId="0" applyFont="1" applyFill="1" applyBorder="1" applyAlignment="1">
      <alignment horizontal="center" vertical="center"/>
    </xf>
    <xf numFmtId="0" fontId="13" fillId="20" borderId="53" xfId="0" applyFont="1" applyFill="1" applyBorder="1" applyAlignment="1">
      <alignment horizontal="center" vertical="center"/>
    </xf>
    <xf numFmtId="0" fontId="13" fillId="20" borderId="55" xfId="0" applyFont="1" applyFill="1" applyBorder="1" applyAlignment="1">
      <alignment horizontal="center" vertical="center"/>
    </xf>
    <xf numFmtId="0" fontId="11" fillId="23" borderId="33" xfId="0" applyFont="1" applyFill="1" applyBorder="1" applyAlignment="1">
      <alignment horizontal="center" vertical="center"/>
    </xf>
    <xf numFmtId="0" fontId="11" fillId="23" borderId="20" xfId="0" applyFont="1" applyFill="1" applyBorder="1" applyAlignment="1">
      <alignment horizontal="center" vertical="center"/>
    </xf>
    <xf numFmtId="0" fontId="13" fillId="22" borderId="33" xfId="0" applyFont="1" applyFill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16" fillId="7" borderId="51" xfId="0" applyFont="1" applyFill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13" fillId="20" borderId="31" xfId="0" applyFont="1" applyFill="1" applyBorder="1" applyAlignment="1">
      <alignment horizontal="center" vertical="center"/>
    </xf>
    <xf numFmtId="0" fontId="11" fillId="23" borderId="31" xfId="0" applyFont="1" applyFill="1" applyBorder="1" applyAlignment="1">
      <alignment horizontal="center" vertical="center"/>
    </xf>
    <xf numFmtId="0" fontId="20" fillId="22" borderId="31" xfId="0" applyFont="1" applyFill="1" applyBorder="1" applyAlignment="1">
      <alignment horizontal="center" vertical="center"/>
    </xf>
    <xf numFmtId="0" fontId="11" fillId="23" borderId="29" xfId="0" applyFont="1" applyFill="1" applyBorder="1" applyAlignment="1">
      <alignment horizontal="center" vertical="center"/>
    </xf>
    <xf numFmtId="0" fontId="13" fillId="22" borderId="31" xfId="0" applyFont="1" applyFill="1" applyBorder="1" applyAlignment="1">
      <alignment horizontal="center" vertical="center"/>
    </xf>
    <xf numFmtId="0" fontId="20" fillId="22" borderId="12" xfId="0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horizontal="center" vertical="center"/>
    </xf>
    <xf numFmtId="0" fontId="13" fillId="22" borderId="11" xfId="0" applyFont="1" applyFill="1" applyBorder="1" applyAlignment="1">
      <alignment horizontal="center" vertical="center"/>
    </xf>
    <xf numFmtId="0" fontId="13" fillId="22" borderId="26" xfId="0" applyFont="1" applyFill="1" applyBorder="1" applyAlignment="1">
      <alignment horizontal="center" vertical="center"/>
    </xf>
    <xf numFmtId="0" fontId="20" fillId="22" borderId="3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20" fillId="22" borderId="52" xfId="0" applyFont="1" applyFill="1" applyBorder="1" applyAlignment="1">
      <alignment horizontal="center" vertical="center"/>
    </xf>
    <xf numFmtId="0" fontId="13" fillId="22" borderId="7" xfId="0" applyFon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7" borderId="66" xfId="0" applyFont="1" applyFill="1" applyBorder="1" applyAlignment="1">
      <alignment horizontal="center" vertical="center"/>
    </xf>
    <xf numFmtId="0" fontId="16" fillId="7" borderId="53" xfId="0" applyFont="1" applyFill="1" applyBorder="1" applyAlignment="1">
      <alignment horizontal="center" vertical="center"/>
    </xf>
    <xf numFmtId="0" fontId="13" fillId="22" borderId="19" xfId="0" applyFont="1" applyFill="1" applyBorder="1" applyAlignment="1">
      <alignment horizontal="center" vertical="center"/>
    </xf>
    <xf numFmtId="0" fontId="16" fillId="7" borderId="58" xfId="0" applyFont="1" applyFill="1" applyBorder="1" applyAlignment="1">
      <alignment horizontal="center" vertical="center"/>
    </xf>
    <xf numFmtId="0" fontId="11" fillId="23" borderId="11" xfId="0" applyFont="1" applyFill="1" applyBorder="1" applyAlignment="1">
      <alignment horizontal="center" vertical="center"/>
    </xf>
    <xf numFmtId="0" fontId="13" fillId="22" borderId="29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19" fillId="23" borderId="6" xfId="0" applyFont="1" applyFill="1" applyBorder="1" applyAlignment="1">
      <alignment horizontal="center" vertical="center"/>
    </xf>
    <xf numFmtId="0" fontId="19" fillId="23" borderId="27" xfId="0" applyFont="1" applyFill="1" applyBorder="1" applyAlignment="1">
      <alignment horizontal="center" vertical="center"/>
    </xf>
    <xf numFmtId="0" fontId="13" fillId="18" borderId="11" xfId="0" applyFont="1" applyFill="1" applyBorder="1" applyAlignment="1">
      <alignment horizontal="center" vertical="center"/>
    </xf>
    <xf numFmtId="0" fontId="0" fillId="0" borderId="0" xfId="0" applyFill="1"/>
    <xf numFmtId="0" fontId="13" fillId="0" borderId="6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20" fillId="0" borderId="33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3" fillId="0" borderId="51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5" fillId="0" borderId="29" xfId="2" applyFont="1" applyFill="1" applyBorder="1" applyAlignment="1">
      <alignment horizontal="center" vertical="center"/>
    </xf>
    <xf numFmtId="0" fontId="15" fillId="0" borderId="27" xfId="2" applyFont="1" applyFill="1" applyBorder="1" applyAlignment="1">
      <alignment horizontal="center" vertical="center"/>
    </xf>
    <xf numFmtId="0" fontId="15" fillId="0" borderId="26" xfId="2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56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center" vertical="center"/>
    </xf>
    <xf numFmtId="0" fontId="11" fillId="0" borderId="29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22" fillId="0" borderId="33" xfId="0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25" fillId="17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53" xfId="0" applyFont="1" applyFill="1" applyBorder="1" applyAlignment="1">
      <alignment horizontal="center" vertical="center"/>
    </xf>
    <xf numFmtId="0" fontId="25" fillId="17" borderId="53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4" fillId="0" borderId="38" xfId="1" applyFont="1" applyBorder="1" applyAlignment="1">
      <alignment horizontal="center" vertical="center" wrapText="1"/>
    </xf>
    <xf numFmtId="0" fontId="4" fillId="0" borderId="41" xfId="1" applyFont="1" applyBorder="1" applyAlignment="1">
      <alignment horizontal="center" vertical="center" wrapText="1"/>
    </xf>
    <xf numFmtId="0" fontId="4" fillId="0" borderId="39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16" fontId="7" fillId="0" borderId="20" xfId="2" applyNumberFormat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horizontal="center" vertical="center"/>
    </xf>
    <xf numFmtId="0" fontId="22" fillId="0" borderId="54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</cellXfs>
  <cellStyles count="4">
    <cellStyle name="Normal" xfId="0" builtinId="0"/>
    <cellStyle name="Normal 2" xfId="3" xr:uid="{32B134CB-05BF-4AF3-9334-682B9FA81AE3}"/>
    <cellStyle name="Normal 2 3" xfId="2" xr:uid="{00000000-0005-0000-0000-000000000000}"/>
    <cellStyle name="ปกติ 2" xfId="1" xr:uid="{00000000-0005-0000-0000-000002000000}"/>
  </cellStyles>
  <dxfs count="0"/>
  <tableStyles count="0" defaultTableStyle="TableStyleMedium2" defaultPivotStyle="PivotStyleLight16"/>
  <colors>
    <mruColors>
      <color rgb="FFEDA6A6"/>
      <color rgb="FFDA63E0"/>
      <color rgb="FFE685D7"/>
      <color rgb="FFEEC9F0"/>
      <color rgb="FFD88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1"/>
  <sheetViews>
    <sheetView tabSelected="1" zoomScaleNormal="100" workbookViewId="0">
      <pane xSplit="5" ySplit="1" topLeftCell="T19" activePane="bottomRight" state="frozen"/>
      <selection pane="topRight"/>
      <selection pane="bottomLeft"/>
      <selection pane="bottomRight" activeCell="AM46" sqref="AM46"/>
    </sheetView>
  </sheetViews>
  <sheetFormatPr defaultRowHeight="14.25" x14ac:dyDescent="0.2"/>
  <cols>
    <col min="3" max="3" width="14.625" bestFit="1" customWidth="1"/>
    <col min="4" max="4" width="6.875" bestFit="1" customWidth="1"/>
    <col min="5" max="5" width="11.125" bestFit="1" customWidth="1"/>
    <col min="6" max="29" width="9" customWidth="1"/>
    <col min="39" max="39" width="9.625" customWidth="1"/>
    <col min="40" max="40" width="9.375" bestFit="1" customWidth="1"/>
  </cols>
  <sheetData>
    <row r="1" spans="1:4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x14ac:dyDescent="0.2">
      <c r="A2" s="3"/>
      <c r="B2" s="345" t="s">
        <v>0</v>
      </c>
      <c r="C2" s="347" t="s">
        <v>1</v>
      </c>
      <c r="D2" s="349" t="s">
        <v>2</v>
      </c>
      <c r="E2" s="351" t="s">
        <v>3</v>
      </c>
      <c r="F2" s="20"/>
      <c r="G2" s="7"/>
      <c r="H2" s="16"/>
      <c r="I2" s="17"/>
      <c r="J2" s="18"/>
      <c r="K2" s="7"/>
      <c r="L2" s="7"/>
      <c r="M2" s="7"/>
      <c r="N2" s="7"/>
      <c r="O2" s="16"/>
      <c r="P2" s="17"/>
      <c r="Q2" s="18"/>
      <c r="R2" s="7"/>
      <c r="S2" s="7"/>
      <c r="T2" s="7"/>
      <c r="U2" s="16"/>
      <c r="V2" s="16"/>
      <c r="W2" s="17"/>
      <c r="X2" s="18"/>
      <c r="Y2" s="7"/>
      <c r="Z2" s="7"/>
      <c r="AA2" s="16"/>
      <c r="AB2" s="16"/>
      <c r="AC2" s="16"/>
      <c r="AD2" s="17"/>
      <c r="AE2" s="18"/>
      <c r="AF2" s="7"/>
      <c r="AG2" s="16"/>
      <c r="AH2" s="16"/>
      <c r="AI2" s="7"/>
      <c r="AJ2" s="19"/>
      <c r="AK2" s="3"/>
      <c r="AL2" s="3"/>
      <c r="AM2" s="3"/>
      <c r="AN2" s="3"/>
      <c r="AO2" s="3"/>
    </row>
    <row r="3" spans="1:41" x14ac:dyDescent="0.2">
      <c r="A3" s="3"/>
      <c r="B3" s="346"/>
      <c r="C3" s="348"/>
      <c r="D3" s="350"/>
      <c r="E3" s="352"/>
      <c r="F3" s="21">
        <v>46235</v>
      </c>
      <c r="G3" s="21">
        <v>46236</v>
      </c>
      <c r="H3" s="21">
        <v>46237</v>
      </c>
      <c r="I3" s="21">
        <v>46238</v>
      </c>
      <c r="J3" s="21">
        <v>46239</v>
      </c>
      <c r="K3" s="21">
        <v>46240</v>
      </c>
      <c r="L3" s="21">
        <v>46241</v>
      </c>
      <c r="M3" s="21">
        <v>46242</v>
      </c>
      <c r="N3" s="21">
        <v>46243</v>
      </c>
      <c r="O3" s="21">
        <v>46244</v>
      </c>
      <c r="P3" s="21">
        <v>46245</v>
      </c>
      <c r="Q3" s="21">
        <v>46246</v>
      </c>
      <c r="R3" s="21">
        <v>46247</v>
      </c>
      <c r="S3" s="21">
        <v>46248</v>
      </c>
      <c r="T3" s="21">
        <v>46249</v>
      </c>
      <c r="U3" s="21">
        <v>46250</v>
      </c>
      <c r="V3" s="21">
        <v>46251</v>
      </c>
      <c r="W3" s="21">
        <v>46252</v>
      </c>
      <c r="X3" s="21">
        <v>46253</v>
      </c>
      <c r="Y3" s="21">
        <v>46254</v>
      </c>
      <c r="Z3" s="21">
        <v>46255</v>
      </c>
      <c r="AA3" s="21">
        <v>46256</v>
      </c>
      <c r="AB3" s="21">
        <v>46257</v>
      </c>
      <c r="AC3" s="21">
        <v>46258</v>
      </c>
      <c r="AD3" s="21">
        <v>46259</v>
      </c>
      <c r="AE3" s="21">
        <v>46260</v>
      </c>
      <c r="AF3" s="21">
        <v>46261</v>
      </c>
      <c r="AG3" s="21">
        <v>46262</v>
      </c>
      <c r="AH3" s="21">
        <v>46263</v>
      </c>
      <c r="AI3" s="21">
        <v>46264</v>
      </c>
      <c r="AJ3" s="21">
        <v>46265</v>
      </c>
      <c r="AK3" s="3"/>
      <c r="AL3" s="3"/>
      <c r="AM3" s="4"/>
      <c r="AN3" s="3"/>
      <c r="AO3" s="3"/>
    </row>
    <row r="4" spans="1:41" ht="15" x14ac:dyDescent="0.25">
      <c r="A4" s="3"/>
      <c r="B4" s="82">
        <v>7470175</v>
      </c>
      <c r="C4" s="83" t="s">
        <v>4</v>
      </c>
      <c r="D4" s="30" t="s">
        <v>5</v>
      </c>
      <c r="E4" s="123" t="s">
        <v>6</v>
      </c>
      <c r="F4" s="140" t="s">
        <v>7</v>
      </c>
      <c r="G4" s="45" t="s">
        <v>7</v>
      </c>
      <c r="H4" s="45" t="s">
        <v>7</v>
      </c>
      <c r="I4" s="45" t="s">
        <v>7</v>
      </c>
      <c r="J4" s="54" t="s">
        <v>116</v>
      </c>
      <c r="K4" s="45" t="s">
        <v>7</v>
      </c>
      <c r="L4" s="45" t="s">
        <v>7</v>
      </c>
      <c r="M4" s="45" t="s">
        <v>7</v>
      </c>
      <c r="N4" s="45" t="s">
        <v>7</v>
      </c>
      <c r="O4" s="45" t="s">
        <v>7</v>
      </c>
      <c r="P4" s="45" t="s">
        <v>7</v>
      </c>
      <c r="Q4" s="141" t="s">
        <v>8</v>
      </c>
      <c r="R4" s="140" t="s">
        <v>7</v>
      </c>
      <c r="S4" s="142" t="s">
        <v>116</v>
      </c>
      <c r="T4" s="143" t="s">
        <v>9</v>
      </c>
      <c r="U4" s="143" t="s">
        <v>9</v>
      </c>
      <c r="V4" s="144" t="s">
        <v>10</v>
      </c>
      <c r="W4" s="144" t="s">
        <v>10</v>
      </c>
      <c r="X4" s="142" t="s">
        <v>116</v>
      </c>
      <c r="Y4" s="144" t="s">
        <v>10</v>
      </c>
      <c r="Z4" s="144" t="s">
        <v>10</v>
      </c>
      <c r="AA4" s="144" t="s">
        <v>10</v>
      </c>
      <c r="AB4" s="144" t="s">
        <v>10</v>
      </c>
      <c r="AC4" s="144" t="s">
        <v>10</v>
      </c>
      <c r="AD4" s="144" t="s">
        <v>10</v>
      </c>
      <c r="AE4" s="142" t="s">
        <v>116</v>
      </c>
      <c r="AF4" s="45" t="s">
        <v>7</v>
      </c>
      <c r="AG4" s="45" t="s">
        <v>7</v>
      </c>
      <c r="AH4" s="45" t="s">
        <v>7</v>
      </c>
      <c r="AI4" s="45" t="s">
        <v>7</v>
      </c>
      <c r="AJ4" s="105" t="s">
        <v>7</v>
      </c>
      <c r="AK4" s="3"/>
      <c r="AL4" s="3"/>
      <c r="AM4" s="3"/>
      <c r="AN4" s="5"/>
      <c r="AO4" s="3"/>
    </row>
    <row r="5" spans="1:41" x14ac:dyDescent="0.2">
      <c r="A5" s="3"/>
      <c r="B5" s="61">
        <v>6199259</v>
      </c>
      <c r="C5" s="62" t="s">
        <v>11</v>
      </c>
      <c r="D5" s="63" t="s">
        <v>12</v>
      </c>
      <c r="E5" s="22" t="s">
        <v>13</v>
      </c>
      <c r="F5" s="9" t="s">
        <v>10</v>
      </c>
      <c r="G5" s="9" t="s">
        <v>10</v>
      </c>
      <c r="H5" s="9" t="s">
        <v>10</v>
      </c>
      <c r="I5" s="9" t="s">
        <v>10</v>
      </c>
      <c r="J5" s="9" t="s">
        <v>10</v>
      </c>
      <c r="K5" s="57" t="s">
        <v>116</v>
      </c>
      <c r="L5" s="9" t="s">
        <v>10</v>
      </c>
      <c r="M5" s="9" t="s">
        <v>10</v>
      </c>
      <c r="N5" s="9" t="s">
        <v>10</v>
      </c>
      <c r="O5" s="9" t="s">
        <v>10</v>
      </c>
      <c r="P5" s="9" t="s">
        <v>10</v>
      </c>
      <c r="Q5" s="9" t="s">
        <v>10</v>
      </c>
      <c r="R5" s="57" t="s">
        <v>116</v>
      </c>
      <c r="S5" s="47" t="s">
        <v>7</v>
      </c>
      <c r="T5" s="47" t="s">
        <v>7</v>
      </c>
      <c r="U5" s="47" t="s">
        <v>7</v>
      </c>
      <c r="V5" s="143" t="s">
        <v>9</v>
      </c>
      <c r="W5" s="143" t="s">
        <v>9</v>
      </c>
      <c r="X5" s="47" t="s">
        <v>7</v>
      </c>
      <c r="Y5" s="10" t="s">
        <v>7</v>
      </c>
      <c r="Z5" s="10" t="s">
        <v>7</v>
      </c>
      <c r="AA5" s="10" t="s">
        <v>7</v>
      </c>
      <c r="AB5" s="57" t="s">
        <v>116</v>
      </c>
      <c r="AC5" s="47" t="s">
        <v>7</v>
      </c>
      <c r="AD5" s="47" t="s">
        <v>7</v>
      </c>
      <c r="AE5" s="47" t="s">
        <v>7</v>
      </c>
      <c r="AF5" s="145" t="s">
        <v>116</v>
      </c>
      <c r="AG5" s="9" t="s">
        <v>10</v>
      </c>
      <c r="AH5" s="9" t="s">
        <v>10</v>
      </c>
      <c r="AI5" s="9" t="s">
        <v>10</v>
      </c>
      <c r="AJ5" s="11" t="s">
        <v>10</v>
      </c>
      <c r="AK5" s="3"/>
      <c r="AL5" s="3"/>
      <c r="AM5" s="3"/>
      <c r="AN5" s="3"/>
      <c r="AO5" s="3"/>
    </row>
    <row r="6" spans="1:41" ht="15" thickBot="1" x14ac:dyDescent="0.25">
      <c r="A6" s="3"/>
      <c r="B6" s="64" t="s">
        <v>14</v>
      </c>
      <c r="C6" s="65" t="s">
        <v>15</v>
      </c>
      <c r="D6" s="66" t="s">
        <v>16</v>
      </c>
      <c r="E6" s="23" t="s">
        <v>6</v>
      </c>
      <c r="F6" s="15" t="s">
        <v>116</v>
      </c>
      <c r="G6" s="9" t="s">
        <v>10</v>
      </c>
      <c r="H6" s="9" t="s">
        <v>10</v>
      </c>
      <c r="I6" s="9" t="s">
        <v>10</v>
      </c>
      <c r="J6" s="9" t="s">
        <v>10</v>
      </c>
      <c r="K6" s="9" t="s">
        <v>10</v>
      </c>
      <c r="L6" s="57" t="s">
        <v>116</v>
      </c>
      <c r="M6" s="9" t="s">
        <v>10</v>
      </c>
      <c r="N6" s="9" t="s">
        <v>10</v>
      </c>
      <c r="O6" s="9" t="s">
        <v>10</v>
      </c>
      <c r="P6" s="9" t="s">
        <v>10</v>
      </c>
      <c r="Q6" s="146" t="s">
        <v>10</v>
      </c>
      <c r="R6" s="9" t="s">
        <v>10</v>
      </c>
      <c r="S6" s="57" t="s">
        <v>116</v>
      </c>
      <c r="T6" s="47" t="s">
        <v>7</v>
      </c>
      <c r="U6" s="47" t="s">
        <v>7</v>
      </c>
      <c r="V6" s="47" t="s">
        <v>7</v>
      </c>
      <c r="W6" s="47" t="s">
        <v>7</v>
      </c>
      <c r="X6" s="47" t="s">
        <v>7</v>
      </c>
      <c r="Y6" s="57" t="s">
        <v>116</v>
      </c>
      <c r="Z6" s="47" t="s">
        <v>7</v>
      </c>
      <c r="AA6" s="47" t="s">
        <v>7</v>
      </c>
      <c r="AB6" s="47" t="s">
        <v>7</v>
      </c>
      <c r="AC6" s="47" t="s">
        <v>7</v>
      </c>
      <c r="AD6" s="47" t="s">
        <v>7</v>
      </c>
      <c r="AE6" s="47" t="s">
        <v>7</v>
      </c>
      <c r="AF6" s="148" t="s">
        <v>7</v>
      </c>
      <c r="AG6" s="57" t="s">
        <v>116</v>
      </c>
      <c r="AH6" s="9" t="s">
        <v>10</v>
      </c>
      <c r="AI6" s="9" t="s">
        <v>10</v>
      </c>
      <c r="AJ6" s="11" t="s">
        <v>10</v>
      </c>
      <c r="AK6" s="3"/>
      <c r="AL6" s="3"/>
      <c r="AM6" s="3"/>
      <c r="AN6" s="3"/>
      <c r="AO6" s="3"/>
    </row>
    <row r="7" spans="1:41" x14ac:dyDescent="0.2">
      <c r="A7" s="3"/>
      <c r="B7" s="39">
        <v>5999351</v>
      </c>
      <c r="C7" s="40" t="s">
        <v>18</v>
      </c>
      <c r="D7" s="67" t="s">
        <v>19</v>
      </c>
      <c r="E7" s="8" t="s">
        <v>13</v>
      </c>
      <c r="F7" s="9" t="s">
        <v>10</v>
      </c>
      <c r="G7" s="15" t="s">
        <v>116</v>
      </c>
      <c r="H7" s="47" t="s">
        <v>7</v>
      </c>
      <c r="I7" s="104" t="s">
        <v>7</v>
      </c>
      <c r="J7" s="104" t="s">
        <v>7</v>
      </c>
      <c r="K7" s="104" t="s">
        <v>7</v>
      </c>
      <c r="L7" s="104" t="s">
        <v>7</v>
      </c>
      <c r="M7" s="56" t="s">
        <v>116</v>
      </c>
      <c r="N7" s="104" t="s">
        <v>7</v>
      </c>
      <c r="O7" s="47" t="s">
        <v>7</v>
      </c>
      <c r="P7" s="47" t="s">
        <v>7</v>
      </c>
      <c r="Q7" s="47" t="s">
        <v>7</v>
      </c>
      <c r="R7" s="48" t="s">
        <v>7</v>
      </c>
      <c r="S7" s="14" t="s">
        <v>10</v>
      </c>
      <c r="T7" s="15" t="s">
        <v>116</v>
      </c>
      <c r="U7" s="14" t="s">
        <v>10</v>
      </c>
      <c r="V7" s="14" t="s">
        <v>10</v>
      </c>
      <c r="W7" s="14" t="s">
        <v>10</v>
      </c>
      <c r="X7" s="14" t="s">
        <v>10</v>
      </c>
      <c r="Y7" s="143" t="s">
        <v>119</v>
      </c>
      <c r="Z7" s="14" t="s">
        <v>10</v>
      </c>
      <c r="AA7" s="15" t="s">
        <v>116</v>
      </c>
      <c r="AB7" s="14" t="s">
        <v>10</v>
      </c>
      <c r="AC7" s="14" t="s">
        <v>10</v>
      </c>
      <c r="AD7" s="14" t="s">
        <v>10</v>
      </c>
      <c r="AE7" s="14" t="s">
        <v>10</v>
      </c>
      <c r="AF7" s="9" t="s">
        <v>10</v>
      </c>
      <c r="AG7" s="58" t="s">
        <v>9</v>
      </c>
      <c r="AH7" s="57" t="s">
        <v>116</v>
      </c>
      <c r="AI7" s="58" t="s">
        <v>9</v>
      </c>
      <c r="AJ7" s="50" t="s">
        <v>7</v>
      </c>
      <c r="AK7" s="3"/>
      <c r="AL7" s="3"/>
      <c r="AM7" s="3"/>
      <c r="AN7" s="3"/>
      <c r="AO7" s="3"/>
    </row>
    <row r="8" spans="1:41" s="3" customFormat="1" ht="15" thickBot="1" x14ac:dyDescent="0.25">
      <c r="B8" s="68">
        <v>7755071</v>
      </c>
      <c r="C8" s="69" t="s">
        <v>20</v>
      </c>
      <c r="D8" s="29" t="s">
        <v>21</v>
      </c>
      <c r="E8" s="29" t="s">
        <v>6</v>
      </c>
      <c r="F8" s="121" t="s">
        <v>22</v>
      </c>
      <c r="G8" s="121" t="s">
        <v>22</v>
      </c>
      <c r="H8" s="149" t="s">
        <v>116</v>
      </c>
      <c r="I8" s="121" t="s">
        <v>22</v>
      </c>
      <c r="J8" s="121" t="s">
        <v>22</v>
      </c>
      <c r="K8" s="121" t="s">
        <v>22</v>
      </c>
      <c r="L8" s="121" t="s">
        <v>22</v>
      </c>
      <c r="M8" s="121" t="s">
        <v>22</v>
      </c>
      <c r="N8" s="121" t="s">
        <v>22</v>
      </c>
      <c r="O8" s="150" t="s">
        <v>116</v>
      </c>
      <c r="P8" s="121" t="s">
        <v>22</v>
      </c>
      <c r="Q8" s="121" t="s">
        <v>22</v>
      </c>
      <c r="R8" s="121" t="s">
        <v>22</v>
      </c>
      <c r="S8" s="121" t="s">
        <v>22</v>
      </c>
      <c r="T8" s="121" t="s">
        <v>22</v>
      </c>
      <c r="U8" s="109" t="s">
        <v>10</v>
      </c>
      <c r="V8" s="56" t="s">
        <v>116</v>
      </c>
      <c r="W8" s="121" t="s">
        <v>22</v>
      </c>
      <c r="X8" s="121" t="s">
        <v>22</v>
      </c>
      <c r="Y8" s="121" t="s">
        <v>22</v>
      </c>
      <c r="Z8" s="121" t="s">
        <v>22</v>
      </c>
      <c r="AA8" s="110" t="s">
        <v>22</v>
      </c>
      <c r="AB8" s="110" t="s">
        <v>22</v>
      </c>
      <c r="AC8" s="110" t="s">
        <v>22</v>
      </c>
      <c r="AD8" s="110" t="s">
        <v>22</v>
      </c>
      <c r="AE8" s="59" t="s">
        <v>116</v>
      </c>
      <c r="AF8" s="110" t="s">
        <v>22</v>
      </c>
      <c r="AG8" s="111" t="s">
        <v>10</v>
      </c>
      <c r="AH8" s="110" t="s">
        <v>22</v>
      </c>
      <c r="AI8" s="56" t="s">
        <v>116</v>
      </c>
      <c r="AJ8" s="122" t="s">
        <v>22</v>
      </c>
    </row>
    <row r="9" spans="1:41" x14ac:dyDescent="0.2">
      <c r="A9" s="3"/>
      <c r="B9" s="70">
        <v>7763969</v>
      </c>
      <c r="C9" s="71" t="s">
        <v>23</v>
      </c>
      <c r="D9" s="72" t="s">
        <v>117</v>
      </c>
      <c r="E9" s="72" t="s">
        <v>24</v>
      </c>
      <c r="F9" s="120" t="s">
        <v>7</v>
      </c>
      <c r="G9" s="120" t="s">
        <v>7</v>
      </c>
      <c r="H9" s="54" t="s">
        <v>116</v>
      </c>
      <c r="I9" s="120" t="s">
        <v>7</v>
      </c>
      <c r="J9" s="120" t="s">
        <v>7</v>
      </c>
      <c r="K9" s="120" t="s">
        <v>7</v>
      </c>
      <c r="L9" s="120" t="s">
        <v>7</v>
      </c>
      <c r="M9" s="120" t="s">
        <v>7</v>
      </c>
      <c r="N9" s="120" t="s">
        <v>7</v>
      </c>
      <c r="O9" s="54" t="s">
        <v>116</v>
      </c>
      <c r="P9" s="120" t="s">
        <v>7</v>
      </c>
      <c r="Q9" s="120" t="s">
        <v>7</v>
      </c>
      <c r="R9" s="120" t="s">
        <v>7</v>
      </c>
      <c r="S9" s="120" t="s">
        <v>7</v>
      </c>
      <c r="T9" s="120" t="s">
        <v>7</v>
      </c>
      <c r="U9" s="120" t="s">
        <v>7</v>
      </c>
      <c r="V9" s="54" t="s">
        <v>116</v>
      </c>
      <c r="W9" s="120" t="s">
        <v>7</v>
      </c>
      <c r="X9" s="120" t="s">
        <v>7</v>
      </c>
      <c r="Y9" s="172" t="s">
        <v>7</v>
      </c>
      <c r="Z9" s="172" t="s">
        <v>7</v>
      </c>
      <c r="AA9" s="200" t="s">
        <v>10</v>
      </c>
      <c r="AB9" s="200" t="s">
        <v>10</v>
      </c>
      <c r="AC9" s="54" t="s">
        <v>116</v>
      </c>
      <c r="AD9" s="106" t="s">
        <v>22</v>
      </c>
      <c r="AE9" s="106" t="s">
        <v>22</v>
      </c>
      <c r="AF9" s="106" t="s">
        <v>22</v>
      </c>
      <c r="AG9" s="106" t="s">
        <v>22</v>
      </c>
      <c r="AH9" s="106" t="s">
        <v>22</v>
      </c>
      <c r="AI9" s="54" t="s">
        <v>116</v>
      </c>
      <c r="AJ9" s="151" t="s">
        <v>10</v>
      </c>
      <c r="AK9" s="3"/>
      <c r="AL9" s="3"/>
      <c r="AM9" s="3"/>
      <c r="AN9" s="3"/>
      <c r="AO9" s="3"/>
    </row>
    <row r="10" spans="1:41" x14ac:dyDescent="0.2">
      <c r="A10" s="3"/>
      <c r="B10" s="27">
        <v>7827209</v>
      </c>
      <c r="C10" s="13" t="s">
        <v>25</v>
      </c>
      <c r="D10" s="12" t="s">
        <v>26</v>
      </c>
      <c r="E10" s="12" t="s">
        <v>27</v>
      </c>
      <c r="F10" s="10" t="s">
        <v>7</v>
      </c>
      <c r="G10" s="10" t="s">
        <v>7</v>
      </c>
      <c r="H10" s="57" t="s">
        <v>116</v>
      </c>
      <c r="I10" s="108" t="s">
        <v>22</v>
      </c>
      <c r="J10" s="108" t="s">
        <v>22</v>
      </c>
      <c r="K10" s="108" t="s">
        <v>22</v>
      </c>
      <c r="L10" s="108" t="s">
        <v>22</v>
      </c>
      <c r="M10" s="108" t="s">
        <v>22</v>
      </c>
      <c r="N10" s="108" t="s">
        <v>22</v>
      </c>
      <c r="O10" s="57" t="s">
        <v>116</v>
      </c>
      <c r="P10" s="9" t="s">
        <v>10</v>
      </c>
      <c r="Q10" s="9" t="s">
        <v>10</v>
      </c>
      <c r="R10" s="9" t="s">
        <v>10</v>
      </c>
      <c r="S10" s="147" t="s">
        <v>17</v>
      </c>
      <c r="T10" s="9" t="s">
        <v>10</v>
      </c>
      <c r="U10" s="9" t="s">
        <v>10</v>
      </c>
      <c r="V10" s="57" t="s">
        <v>116</v>
      </c>
      <c r="W10" s="9" t="s">
        <v>10</v>
      </c>
      <c r="X10" s="146" t="s">
        <v>10</v>
      </c>
      <c r="Y10" s="184" t="s">
        <v>10</v>
      </c>
      <c r="Z10" s="198" t="s">
        <v>17</v>
      </c>
      <c r="AA10" s="184" t="s">
        <v>10</v>
      </c>
      <c r="AB10" s="184" t="s">
        <v>10</v>
      </c>
      <c r="AC10" s="145" t="s">
        <v>116</v>
      </c>
      <c r="AD10" s="115" t="s">
        <v>7</v>
      </c>
      <c r="AE10" s="115" t="s">
        <v>7</v>
      </c>
      <c r="AF10" s="115" t="s">
        <v>7</v>
      </c>
      <c r="AG10" s="115" t="s">
        <v>7</v>
      </c>
      <c r="AH10" s="115" t="s">
        <v>7</v>
      </c>
      <c r="AI10" s="57" t="s">
        <v>116</v>
      </c>
      <c r="AJ10" s="116" t="s">
        <v>7</v>
      </c>
      <c r="AK10" s="3"/>
      <c r="AL10" s="3"/>
      <c r="AM10" s="3"/>
      <c r="AN10" s="3"/>
      <c r="AO10" s="3"/>
    </row>
    <row r="11" spans="1:41" s="3" customFormat="1" x14ac:dyDescent="0.2">
      <c r="B11" s="27">
        <v>7408435</v>
      </c>
      <c r="C11" s="13" t="s">
        <v>28</v>
      </c>
      <c r="D11" s="12" t="s">
        <v>29</v>
      </c>
      <c r="E11" s="12" t="s">
        <v>24</v>
      </c>
      <c r="F11" s="108" t="s">
        <v>22</v>
      </c>
      <c r="G11" s="108" t="s">
        <v>22</v>
      </c>
      <c r="H11" s="57" t="s">
        <v>116</v>
      </c>
      <c r="I11" s="108" t="s">
        <v>22</v>
      </c>
      <c r="J11" s="108" t="s">
        <v>22</v>
      </c>
      <c r="K11" s="108" t="s">
        <v>22</v>
      </c>
      <c r="L11" s="108" t="s">
        <v>22</v>
      </c>
      <c r="M11" s="108" t="s">
        <v>22</v>
      </c>
      <c r="N11" s="108" t="s">
        <v>22</v>
      </c>
      <c r="O11" s="57" t="s">
        <v>116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57" t="s">
        <v>116</v>
      </c>
      <c r="W11" s="187" t="s">
        <v>119</v>
      </c>
      <c r="X11" s="187" t="s">
        <v>119</v>
      </c>
      <c r="Y11" s="187" t="s">
        <v>119</v>
      </c>
      <c r="Z11" s="187" t="s">
        <v>119</v>
      </c>
      <c r="AA11" s="187" t="s">
        <v>119</v>
      </c>
      <c r="AB11" s="199" t="s">
        <v>22</v>
      </c>
      <c r="AC11" s="145" t="s">
        <v>116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57" t="s">
        <v>116</v>
      </c>
      <c r="AJ11" s="11" t="s">
        <v>10</v>
      </c>
    </row>
    <row r="12" spans="1:41" x14ac:dyDescent="0.2">
      <c r="A12" s="3"/>
      <c r="B12" s="27">
        <v>7863829</v>
      </c>
      <c r="C12" s="13" t="s">
        <v>30</v>
      </c>
      <c r="D12" s="12" t="s">
        <v>31</v>
      </c>
      <c r="E12" s="12" t="s">
        <v>27</v>
      </c>
      <c r="F12" s="108" t="s">
        <v>22</v>
      </c>
      <c r="G12" s="108" t="s">
        <v>22</v>
      </c>
      <c r="H12" s="57" t="s">
        <v>116</v>
      </c>
      <c r="I12" s="9" t="s">
        <v>10</v>
      </c>
      <c r="J12" s="9" t="s">
        <v>10</v>
      </c>
      <c r="K12" s="9" t="s">
        <v>10</v>
      </c>
      <c r="L12" s="9" t="s">
        <v>10</v>
      </c>
      <c r="M12" s="9" t="s">
        <v>10</v>
      </c>
      <c r="N12" s="9" t="s">
        <v>10</v>
      </c>
      <c r="O12" s="57" t="s">
        <v>116</v>
      </c>
      <c r="P12" s="9" t="s">
        <v>10</v>
      </c>
      <c r="Q12" s="9" t="s">
        <v>10</v>
      </c>
      <c r="R12" s="9" t="s">
        <v>10</v>
      </c>
      <c r="S12" s="147" t="s">
        <v>17</v>
      </c>
      <c r="T12" s="9" t="s">
        <v>10</v>
      </c>
      <c r="U12" s="9" t="s">
        <v>10</v>
      </c>
      <c r="V12" s="57" t="s">
        <v>116</v>
      </c>
      <c r="W12" s="9" t="s">
        <v>10</v>
      </c>
      <c r="X12" s="146" t="s">
        <v>10</v>
      </c>
      <c r="Y12" s="184" t="s">
        <v>10</v>
      </c>
      <c r="Z12" s="198" t="s">
        <v>17</v>
      </c>
      <c r="AA12" s="184" t="s">
        <v>10</v>
      </c>
      <c r="AB12" s="184" t="s">
        <v>10</v>
      </c>
      <c r="AC12" s="145" t="s">
        <v>116</v>
      </c>
      <c r="AD12" s="9" t="s">
        <v>10</v>
      </c>
      <c r="AE12" s="9" t="s">
        <v>10</v>
      </c>
      <c r="AF12" s="9" t="s">
        <v>10</v>
      </c>
      <c r="AG12" s="9" t="s">
        <v>10</v>
      </c>
      <c r="AH12" s="9" t="s">
        <v>10</v>
      </c>
      <c r="AI12" s="56" t="s">
        <v>116</v>
      </c>
      <c r="AJ12" s="116" t="s">
        <v>7</v>
      </c>
      <c r="AK12" s="3"/>
      <c r="AL12" s="3"/>
      <c r="AM12" s="3"/>
      <c r="AN12" s="3"/>
      <c r="AO12" s="3"/>
    </row>
    <row r="13" spans="1:41" x14ac:dyDescent="0.2">
      <c r="A13" s="3"/>
      <c r="B13" s="27">
        <v>7864531</v>
      </c>
      <c r="C13" s="13" t="s">
        <v>32</v>
      </c>
      <c r="D13" s="12" t="s">
        <v>33</v>
      </c>
      <c r="E13" s="12" t="s">
        <v>24</v>
      </c>
      <c r="F13" s="10" t="s">
        <v>7</v>
      </c>
      <c r="G13" s="10" t="s">
        <v>7</v>
      </c>
      <c r="H13" s="57" t="s">
        <v>116</v>
      </c>
      <c r="I13" s="9" t="s">
        <v>10</v>
      </c>
      <c r="J13" s="9" t="s">
        <v>10</v>
      </c>
      <c r="K13" s="9" t="s">
        <v>10</v>
      </c>
      <c r="L13" s="9" t="s">
        <v>10</v>
      </c>
      <c r="M13" s="9" t="s">
        <v>10</v>
      </c>
      <c r="N13" s="9" t="s">
        <v>10</v>
      </c>
      <c r="O13" s="57" t="s">
        <v>116</v>
      </c>
      <c r="P13" s="108" t="s">
        <v>22</v>
      </c>
      <c r="Q13" s="108" t="s">
        <v>22</v>
      </c>
      <c r="R13" s="108" t="s">
        <v>22</v>
      </c>
      <c r="S13" s="108" t="s">
        <v>22</v>
      </c>
      <c r="T13" s="108" t="s">
        <v>22</v>
      </c>
      <c r="U13" s="108" t="s">
        <v>22</v>
      </c>
      <c r="V13" s="57" t="s">
        <v>116</v>
      </c>
      <c r="W13" s="115" t="s">
        <v>7</v>
      </c>
      <c r="X13" s="115" t="s">
        <v>7</v>
      </c>
      <c r="Y13" s="115" t="s">
        <v>7</v>
      </c>
      <c r="Z13" s="115" t="s">
        <v>7</v>
      </c>
      <c r="AA13" s="14" t="s">
        <v>10</v>
      </c>
      <c r="AB13" s="14" t="s">
        <v>10</v>
      </c>
      <c r="AC13" s="57" t="s">
        <v>116</v>
      </c>
      <c r="AD13" s="115" t="s">
        <v>7</v>
      </c>
      <c r="AE13" s="115" t="s">
        <v>7</v>
      </c>
      <c r="AF13" s="115" t="s">
        <v>7</v>
      </c>
      <c r="AG13" s="58" t="s">
        <v>9</v>
      </c>
      <c r="AH13" s="152" t="s">
        <v>116</v>
      </c>
      <c r="AI13" s="9" t="s">
        <v>10</v>
      </c>
      <c r="AJ13" s="153" t="s">
        <v>10</v>
      </c>
      <c r="AK13" s="3"/>
      <c r="AL13" s="3"/>
      <c r="AM13" s="3"/>
      <c r="AN13" s="3"/>
      <c r="AO13" s="3"/>
    </row>
    <row r="14" spans="1:41" x14ac:dyDescent="0.2">
      <c r="A14" s="3"/>
      <c r="B14" s="73">
        <v>7916515</v>
      </c>
      <c r="C14" s="74" t="s">
        <v>34</v>
      </c>
      <c r="D14" s="75" t="s">
        <v>35</v>
      </c>
      <c r="E14" s="76" t="s">
        <v>27</v>
      </c>
      <c r="F14" s="111" t="s">
        <v>10</v>
      </c>
      <c r="G14" s="111" t="s">
        <v>10</v>
      </c>
      <c r="H14" s="59" t="s">
        <v>116</v>
      </c>
      <c r="I14" s="111" t="s">
        <v>10</v>
      </c>
      <c r="J14" s="111" t="s">
        <v>10</v>
      </c>
      <c r="K14" s="111" t="s">
        <v>10</v>
      </c>
      <c r="L14" s="111" t="s">
        <v>10</v>
      </c>
      <c r="M14" s="111" t="s">
        <v>10</v>
      </c>
      <c r="N14" s="111" t="s">
        <v>10</v>
      </c>
      <c r="O14" s="59" t="s">
        <v>116</v>
      </c>
      <c r="P14" s="60" t="s">
        <v>9</v>
      </c>
      <c r="Q14" s="154" t="s">
        <v>7</v>
      </c>
      <c r="R14" s="154" t="s">
        <v>7</v>
      </c>
      <c r="S14" s="154" t="s">
        <v>7</v>
      </c>
      <c r="T14" s="154" t="s">
        <v>7</v>
      </c>
      <c r="U14" s="154" t="s">
        <v>7</v>
      </c>
      <c r="V14" s="59" t="s">
        <v>116</v>
      </c>
      <c r="W14" s="111" t="s">
        <v>10</v>
      </c>
      <c r="X14" s="111" t="s">
        <v>10</v>
      </c>
      <c r="Y14" s="111" t="s">
        <v>10</v>
      </c>
      <c r="Z14" s="111" t="s">
        <v>10</v>
      </c>
      <c r="AA14" s="111" t="s">
        <v>10</v>
      </c>
      <c r="AB14" s="111" t="s">
        <v>10</v>
      </c>
      <c r="AC14" s="59" t="s">
        <v>116</v>
      </c>
      <c r="AD14" s="111" t="s">
        <v>10</v>
      </c>
      <c r="AE14" s="111" t="s">
        <v>10</v>
      </c>
      <c r="AF14" s="111" t="s">
        <v>10</v>
      </c>
      <c r="AG14" s="111" t="s">
        <v>10</v>
      </c>
      <c r="AH14" s="111" t="s">
        <v>10</v>
      </c>
      <c r="AI14" s="155" t="s">
        <v>116</v>
      </c>
      <c r="AJ14" s="156" t="s">
        <v>10</v>
      </c>
      <c r="AK14" s="3"/>
      <c r="AL14" s="3"/>
      <c r="AM14" s="3"/>
      <c r="AN14" s="3"/>
      <c r="AO14" s="3"/>
    </row>
    <row r="15" spans="1:41" x14ac:dyDescent="0.2">
      <c r="A15" s="3"/>
      <c r="B15" s="77">
        <v>7597374</v>
      </c>
      <c r="C15" s="78" t="s">
        <v>36</v>
      </c>
      <c r="D15" s="79" t="s">
        <v>37</v>
      </c>
      <c r="E15" s="79" t="s">
        <v>24</v>
      </c>
      <c r="F15" s="115" t="s">
        <v>7</v>
      </c>
      <c r="G15" s="115" t="s">
        <v>7</v>
      </c>
      <c r="H15" s="115" t="s">
        <v>7</v>
      </c>
      <c r="I15" s="115" t="s">
        <v>7</v>
      </c>
      <c r="J15" s="115" t="s">
        <v>7</v>
      </c>
      <c r="K15" s="15" t="s">
        <v>116</v>
      </c>
      <c r="L15" s="15" t="s">
        <v>116</v>
      </c>
      <c r="M15" s="157" t="s">
        <v>9</v>
      </c>
      <c r="N15" s="115" t="s">
        <v>7</v>
      </c>
      <c r="O15" s="115" t="s">
        <v>7</v>
      </c>
      <c r="P15" s="115" t="s">
        <v>7</v>
      </c>
      <c r="Q15" s="118" t="s">
        <v>8</v>
      </c>
      <c r="R15" s="14" t="s">
        <v>10</v>
      </c>
      <c r="S15" s="14" t="s">
        <v>10</v>
      </c>
      <c r="T15" s="14" t="s">
        <v>10</v>
      </c>
      <c r="U15" s="14" t="s">
        <v>10</v>
      </c>
      <c r="V15" s="14" t="s">
        <v>10</v>
      </c>
      <c r="W15" s="14" t="s">
        <v>10</v>
      </c>
      <c r="X15" s="15" t="s">
        <v>116</v>
      </c>
      <c r="Y15" s="158" t="s">
        <v>22</v>
      </c>
      <c r="Z15" s="158" t="s">
        <v>22</v>
      </c>
      <c r="AA15" s="158" t="s">
        <v>22</v>
      </c>
      <c r="AB15" s="158" t="s">
        <v>22</v>
      </c>
      <c r="AC15" s="158" t="s">
        <v>22</v>
      </c>
      <c r="AD15" s="15" t="s">
        <v>116</v>
      </c>
      <c r="AE15" s="115" t="s">
        <v>7</v>
      </c>
      <c r="AF15" s="115" t="s">
        <v>7</v>
      </c>
      <c r="AG15" s="115" t="s">
        <v>7</v>
      </c>
      <c r="AH15" s="115" t="s">
        <v>7</v>
      </c>
      <c r="AI15" s="115" t="s">
        <v>7</v>
      </c>
      <c r="AJ15" s="159" t="s">
        <v>116</v>
      </c>
      <c r="AK15" s="3"/>
      <c r="AL15" s="3"/>
      <c r="AM15" s="3"/>
      <c r="AN15" s="3"/>
      <c r="AO15" s="3"/>
    </row>
    <row r="16" spans="1:41" x14ac:dyDescent="0.2">
      <c r="A16" s="3"/>
      <c r="B16" s="80">
        <v>7828240</v>
      </c>
      <c r="C16" s="81" t="s">
        <v>38</v>
      </c>
      <c r="D16" s="28" t="s">
        <v>39</v>
      </c>
      <c r="E16" s="28" t="s">
        <v>24</v>
      </c>
      <c r="F16" s="9" t="s">
        <v>10</v>
      </c>
      <c r="G16" s="9" t="s">
        <v>10</v>
      </c>
      <c r="H16" s="9" t="s">
        <v>10</v>
      </c>
      <c r="I16" s="57" t="s">
        <v>116</v>
      </c>
      <c r="J16" s="9" t="s">
        <v>10</v>
      </c>
      <c r="K16" s="9" t="s">
        <v>10</v>
      </c>
      <c r="L16" s="9" t="s">
        <v>10</v>
      </c>
      <c r="M16" s="9" t="s">
        <v>10</v>
      </c>
      <c r="N16" s="9" t="s">
        <v>10</v>
      </c>
      <c r="O16" s="9" t="s">
        <v>10</v>
      </c>
      <c r="P16" s="57" t="s">
        <v>116</v>
      </c>
      <c r="Q16" s="47" t="s">
        <v>7</v>
      </c>
      <c r="R16" s="47" t="s">
        <v>7</v>
      </c>
      <c r="S16" s="47" t="s">
        <v>7</v>
      </c>
      <c r="T16" s="47" t="s">
        <v>7</v>
      </c>
      <c r="U16" s="47" t="s">
        <v>7</v>
      </c>
      <c r="V16" s="140" t="s">
        <v>7</v>
      </c>
      <c r="W16" s="152" t="s">
        <v>116</v>
      </c>
      <c r="X16" s="47" t="s">
        <v>7</v>
      </c>
      <c r="Y16" s="47" t="s">
        <v>7</v>
      </c>
      <c r="Z16" s="47" t="s">
        <v>7</v>
      </c>
      <c r="AA16" s="47" t="s">
        <v>7</v>
      </c>
      <c r="AB16" s="47" t="s">
        <v>7</v>
      </c>
      <c r="AC16" s="47" t="s">
        <v>7</v>
      </c>
      <c r="AD16" s="145" t="s">
        <v>116</v>
      </c>
      <c r="AE16" s="48" t="s">
        <v>7</v>
      </c>
      <c r="AF16" s="48" t="s">
        <v>7</v>
      </c>
      <c r="AG16" s="48" t="s">
        <v>7</v>
      </c>
      <c r="AH16" s="48" t="s">
        <v>7</v>
      </c>
      <c r="AI16" s="140" t="s">
        <v>7</v>
      </c>
      <c r="AJ16" s="107" t="s">
        <v>116</v>
      </c>
      <c r="AK16" s="3"/>
      <c r="AL16" s="3"/>
      <c r="AM16" s="3"/>
      <c r="AN16" s="3"/>
      <c r="AO16" s="3"/>
    </row>
    <row r="17" spans="1:41" s="3" customFormat="1" x14ac:dyDescent="0.2">
      <c r="B17" s="80">
        <v>7837148</v>
      </c>
      <c r="C17" s="81" t="s">
        <v>40</v>
      </c>
      <c r="D17" s="28" t="s">
        <v>41</v>
      </c>
      <c r="E17" s="28" t="s">
        <v>24</v>
      </c>
      <c r="F17" s="47" t="s">
        <v>7</v>
      </c>
      <c r="G17" s="47" t="s">
        <v>7</v>
      </c>
      <c r="H17" s="47" t="s">
        <v>7</v>
      </c>
      <c r="I17" s="57" t="s">
        <v>116</v>
      </c>
      <c r="J17" s="47" t="s">
        <v>7</v>
      </c>
      <c r="K17" s="47" t="s">
        <v>7</v>
      </c>
      <c r="L17" s="47" t="s">
        <v>7</v>
      </c>
      <c r="M17" s="47" t="s">
        <v>7</v>
      </c>
      <c r="N17" s="47" t="s">
        <v>7</v>
      </c>
      <c r="O17" s="47" t="s">
        <v>7</v>
      </c>
      <c r="P17" s="57" t="s">
        <v>116</v>
      </c>
      <c r="Q17" s="47" t="s">
        <v>7</v>
      </c>
      <c r="R17" s="47" t="s">
        <v>7</v>
      </c>
      <c r="S17" s="47" t="s">
        <v>7</v>
      </c>
      <c r="T17" s="47" t="s">
        <v>7</v>
      </c>
      <c r="U17" s="47" t="s">
        <v>7</v>
      </c>
      <c r="V17" s="47" t="s">
        <v>7</v>
      </c>
      <c r="W17" s="57" t="s">
        <v>116</v>
      </c>
      <c r="X17" s="48" t="s">
        <v>7</v>
      </c>
      <c r="Y17" s="48" t="s">
        <v>7</v>
      </c>
      <c r="Z17" s="48" t="s">
        <v>7</v>
      </c>
      <c r="AA17" s="48" t="s">
        <v>7</v>
      </c>
      <c r="AB17" s="48" t="s">
        <v>7</v>
      </c>
      <c r="AC17" s="48" t="s">
        <v>7</v>
      </c>
      <c r="AD17" s="57" t="s">
        <v>116</v>
      </c>
      <c r="AE17" s="9" t="s">
        <v>10</v>
      </c>
      <c r="AF17" s="9" t="s">
        <v>10</v>
      </c>
      <c r="AG17" s="9" t="s">
        <v>10</v>
      </c>
      <c r="AH17" s="9" t="s">
        <v>10</v>
      </c>
      <c r="AI17" s="9" t="s">
        <v>10</v>
      </c>
      <c r="AJ17" s="107" t="s">
        <v>116</v>
      </c>
    </row>
    <row r="18" spans="1:41" x14ac:dyDescent="0.2">
      <c r="A18" s="3"/>
      <c r="B18" s="80">
        <v>7589910</v>
      </c>
      <c r="C18" s="81" t="s">
        <v>42</v>
      </c>
      <c r="D18" s="28" t="s">
        <v>43</v>
      </c>
      <c r="E18" s="28" t="s">
        <v>24</v>
      </c>
      <c r="F18" s="9" t="s">
        <v>10</v>
      </c>
      <c r="G18" s="9" t="s">
        <v>10</v>
      </c>
      <c r="H18" s="9" t="s">
        <v>10</v>
      </c>
      <c r="I18" s="57" t="s">
        <v>116</v>
      </c>
      <c r="J18" s="47" t="s">
        <v>7</v>
      </c>
      <c r="K18" s="47" t="s">
        <v>7</v>
      </c>
      <c r="L18" s="47" t="s">
        <v>7</v>
      </c>
      <c r="M18" s="47" t="s">
        <v>7</v>
      </c>
      <c r="N18" s="47" t="s">
        <v>7</v>
      </c>
      <c r="O18" s="47" t="s">
        <v>7</v>
      </c>
      <c r="P18" s="57" t="s">
        <v>116</v>
      </c>
      <c r="Q18" s="47" t="s">
        <v>7</v>
      </c>
      <c r="R18" s="140" t="s">
        <v>7</v>
      </c>
      <c r="S18" s="58" t="s">
        <v>9</v>
      </c>
      <c r="T18" s="58" t="s">
        <v>9</v>
      </c>
      <c r="U18" s="57" t="s">
        <v>116</v>
      </c>
      <c r="V18" s="140" t="s">
        <v>7</v>
      </c>
      <c r="W18" s="47" t="s">
        <v>7</v>
      </c>
      <c r="X18" s="47" t="s">
        <v>7</v>
      </c>
      <c r="Y18" s="47" t="s">
        <v>7</v>
      </c>
      <c r="Z18" s="47" t="s">
        <v>7</v>
      </c>
      <c r="AA18" s="47" t="s">
        <v>7</v>
      </c>
      <c r="AB18" s="47" t="s">
        <v>7</v>
      </c>
      <c r="AC18" s="47" t="s">
        <v>7</v>
      </c>
      <c r="AD18" s="57" t="s">
        <v>116</v>
      </c>
      <c r="AE18" s="47" t="s">
        <v>7</v>
      </c>
      <c r="AF18" s="47" t="s">
        <v>7</v>
      </c>
      <c r="AG18" s="47" t="s">
        <v>7</v>
      </c>
      <c r="AH18" s="47" t="s">
        <v>7</v>
      </c>
      <c r="AI18" s="47" t="s">
        <v>7</v>
      </c>
      <c r="AJ18" s="107" t="s">
        <v>116</v>
      </c>
      <c r="AK18" s="3"/>
      <c r="AL18" s="3"/>
      <c r="AM18" s="3"/>
      <c r="AN18" s="3"/>
      <c r="AO18" s="3"/>
    </row>
    <row r="19" spans="1:41" x14ac:dyDescent="0.2">
      <c r="A19" s="3"/>
      <c r="B19" s="80">
        <v>7697747</v>
      </c>
      <c r="C19" s="81" t="s">
        <v>44</v>
      </c>
      <c r="D19" s="28" t="s">
        <v>118</v>
      </c>
      <c r="E19" s="28" t="s">
        <v>24</v>
      </c>
      <c r="F19" s="47" t="s">
        <v>7</v>
      </c>
      <c r="G19" s="47" t="s">
        <v>7</v>
      </c>
      <c r="H19" s="47" t="s">
        <v>7</v>
      </c>
      <c r="I19" s="57" t="s">
        <v>116</v>
      </c>
      <c r="J19" s="9" t="s">
        <v>10</v>
      </c>
      <c r="K19" s="9" t="s">
        <v>10</v>
      </c>
      <c r="L19" s="9" t="s">
        <v>10</v>
      </c>
      <c r="M19" s="9" t="s">
        <v>10</v>
      </c>
      <c r="N19" s="9" t="s">
        <v>10</v>
      </c>
      <c r="O19" s="9" t="s">
        <v>10</v>
      </c>
      <c r="P19" s="57" t="s">
        <v>116</v>
      </c>
      <c r="Q19" s="10" t="s">
        <v>7</v>
      </c>
      <c r="R19" s="10" t="s">
        <v>7</v>
      </c>
      <c r="S19" s="10" t="s">
        <v>7</v>
      </c>
      <c r="T19" s="10" t="s">
        <v>7</v>
      </c>
      <c r="U19" s="10" t="s">
        <v>7</v>
      </c>
      <c r="V19" s="10" t="s">
        <v>7</v>
      </c>
      <c r="W19" s="57" t="s">
        <v>116</v>
      </c>
      <c r="X19" s="47" t="s">
        <v>7</v>
      </c>
      <c r="Y19" s="47" t="s">
        <v>7</v>
      </c>
      <c r="Z19" s="47" t="s">
        <v>7</v>
      </c>
      <c r="AA19" s="47" t="s">
        <v>7</v>
      </c>
      <c r="AB19" s="47" t="s">
        <v>7</v>
      </c>
      <c r="AC19" s="47" t="s">
        <v>7</v>
      </c>
      <c r="AD19" s="57" t="s">
        <v>116</v>
      </c>
      <c r="AE19" s="108" t="s">
        <v>22</v>
      </c>
      <c r="AF19" s="108" t="s">
        <v>22</v>
      </c>
      <c r="AG19" s="108" t="s">
        <v>22</v>
      </c>
      <c r="AH19" s="108" t="s">
        <v>22</v>
      </c>
      <c r="AI19" s="108" t="s">
        <v>22</v>
      </c>
      <c r="AJ19" s="107" t="s">
        <v>116</v>
      </c>
      <c r="AK19" s="3"/>
      <c r="AL19" s="3"/>
      <c r="AM19" s="3"/>
      <c r="AN19" s="3"/>
      <c r="AO19" s="3"/>
    </row>
    <row r="20" spans="1:41" x14ac:dyDescent="0.2">
      <c r="A20" s="3"/>
      <c r="B20" s="80">
        <v>7870420</v>
      </c>
      <c r="C20" s="81" t="s">
        <v>45</v>
      </c>
      <c r="D20" s="28" t="s">
        <v>46</v>
      </c>
      <c r="E20" s="28" t="s">
        <v>24</v>
      </c>
      <c r="F20" s="108" t="s">
        <v>22</v>
      </c>
      <c r="G20" s="108" t="s">
        <v>22</v>
      </c>
      <c r="H20" s="108" t="s">
        <v>22</v>
      </c>
      <c r="I20" s="57" t="s">
        <v>116</v>
      </c>
      <c r="J20" s="47" t="s">
        <v>7</v>
      </c>
      <c r="K20" s="47" t="s">
        <v>7</v>
      </c>
      <c r="L20" s="47" t="s">
        <v>7</v>
      </c>
      <c r="M20" s="47" t="s">
        <v>7</v>
      </c>
      <c r="N20" s="47" t="s">
        <v>7</v>
      </c>
      <c r="O20" s="47" t="s">
        <v>7</v>
      </c>
      <c r="P20" s="57" t="s">
        <v>116</v>
      </c>
      <c r="Q20" s="9" t="s">
        <v>10</v>
      </c>
      <c r="R20" s="9" t="s">
        <v>10</v>
      </c>
      <c r="S20" s="9" t="s">
        <v>10</v>
      </c>
      <c r="T20" s="9" t="s">
        <v>10</v>
      </c>
      <c r="U20" s="9" t="s">
        <v>10</v>
      </c>
      <c r="V20" s="9" t="s">
        <v>10</v>
      </c>
      <c r="W20" s="57" t="s">
        <v>116</v>
      </c>
      <c r="X20" s="47" t="s">
        <v>7</v>
      </c>
      <c r="Y20" s="47" t="s">
        <v>7</v>
      </c>
      <c r="Z20" s="47" t="s">
        <v>7</v>
      </c>
      <c r="AA20" s="47" t="s">
        <v>7</v>
      </c>
      <c r="AB20" s="47" t="s">
        <v>7</v>
      </c>
      <c r="AC20" s="47" t="s">
        <v>7</v>
      </c>
      <c r="AD20" s="57" t="s">
        <v>116</v>
      </c>
      <c r="AE20" s="9" t="s">
        <v>10</v>
      </c>
      <c r="AF20" s="9" t="s">
        <v>10</v>
      </c>
      <c r="AG20" s="9" t="s">
        <v>10</v>
      </c>
      <c r="AH20" s="9" t="s">
        <v>10</v>
      </c>
      <c r="AI20" s="9" t="s">
        <v>10</v>
      </c>
      <c r="AJ20" s="107" t="s">
        <v>116</v>
      </c>
      <c r="AK20" s="3"/>
      <c r="AL20" s="3"/>
      <c r="AM20" s="3"/>
      <c r="AN20" s="3"/>
      <c r="AO20" s="3"/>
    </row>
    <row r="21" spans="1:41" x14ac:dyDescent="0.2">
      <c r="A21" s="3"/>
      <c r="B21" s="24">
        <v>7471068</v>
      </c>
      <c r="C21" s="25" t="s">
        <v>47</v>
      </c>
      <c r="D21" s="26" t="s">
        <v>48</v>
      </c>
      <c r="E21" s="26" t="s">
        <v>24</v>
      </c>
      <c r="F21" s="9" t="s">
        <v>10</v>
      </c>
      <c r="G21" s="9" t="s">
        <v>10</v>
      </c>
      <c r="H21" s="9" t="s">
        <v>10</v>
      </c>
      <c r="I21" s="57" t="s">
        <v>116</v>
      </c>
      <c r="J21" s="47" t="s">
        <v>7</v>
      </c>
      <c r="K21" s="47" t="s">
        <v>7</v>
      </c>
      <c r="L21" s="47" t="s">
        <v>7</v>
      </c>
      <c r="M21" s="47" t="s">
        <v>7</v>
      </c>
      <c r="N21" s="47" t="s">
        <v>7</v>
      </c>
      <c r="O21" s="47" t="s">
        <v>7</v>
      </c>
      <c r="P21" s="57" t="s">
        <v>116</v>
      </c>
      <c r="Q21" s="47" t="s">
        <v>7</v>
      </c>
      <c r="R21" s="140" t="s">
        <v>7</v>
      </c>
      <c r="S21" s="58" t="s">
        <v>9</v>
      </c>
      <c r="T21" s="58" t="s">
        <v>9</v>
      </c>
      <c r="U21" s="57" t="s">
        <v>116</v>
      </c>
      <c r="V21" s="140" t="s">
        <v>7</v>
      </c>
      <c r="W21" s="47" t="s">
        <v>7</v>
      </c>
      <c r="X21" s="47" t="s">
        <v>7</v>
      </c>
      <c r="Y21" s="47" t="s">
        <v>7</v>
      </c>
      <c r="Z21" s="47" t="s">
        <v>7</v>
      </c>
      <c r="AA21" s="47" t="s">
        <v>7</v>
      </c>
      <c r="AB21" s="47" t="s">
        <v>7</v>
      </c>
      <c r="AC21" s="47" t="s">
        <v>7</v>
      </c>
      <c r="AD21" s="57" t="s">
        <v>116</v>
      </c>
      <c r="AE21" s="47" t="s">
        <v>7</v>
      </c>
      <c r="AF21" s="47" t="s">
        <v>7</v>
      </c>
      <c r="AG21" s="47" t="s">
        <v>7</v>
      </c>
      <c r="AH21" s="47" t="s">
        <v>7</v>
      </c>
      <c r="AI21" s="47" t="s">
        <v>7</v>
      </c>
      <c r="AJ21" s="107" t="s">
        <v>116</v>
      </c>
      <c r="AK21" s="3"/>
      <c r="AL21" s="3"/>
      <c r="AM21" s="3"/>
      <c r="AN21" s="3"/>
      <c r="AO21" s="3"/>
    </row>
    <row r="22" spans="1:41" x14ac:dyDescent="0.2">
      <c r="A22" s="3"/>
      <c r="B22" s="80">
        <v>7908832</v>
      </c>
      <c r="C22" s="81" t="s">
        <v>49</v>
      </c>
      <c r="D22" s="28" t="s">
        <v>50</v>
      </c>
      <c r="E22" s="28" t="s">
        <v>27</v>
      </c>
      <c r="F22" s="9" t="s">
        <v>10</v>
      </c>
      <c r="G22" s="9" t="s">
        <v>10</v>
      </c>
      <c r="H22" s="9" t="s">
        <v>10</v>
      </c>
      <c r="I22" s="57" t="s">
        <v>116</v>
      </c>
      <c r="J22" s="47" t="s">
        <v>7</v>
      </c>
      <c r="K22" s="47" t="s">
        <v>7</v>
      </c>
      <c r="L22" s="47" t="s">
        <v>7</v>
      </c>
      <c r="M22" s="47" t="s">
        <v>7</v>
      </c>
      <c r="N22" s="47" t="s">
        <v>7</v>
      </c>
      <c r="O22" s="47" t="s">
        <v>7</v>
      </c>
      <c r="P22" s="57" t="s">
        <v>116</v>
      </c>
      <c r="Q22" s="47" t="s">
        <v>7</v>
      </c>
      <c r="R22" s="47" t="s">
        <v>7</v>
      </c>
      <c r="S22" s="47" t="s">
        <v>7</v>
      </c>
      <c r="T22" s="47" t="s">
        <v>7</v>
      </c>
      <c r="U22" s="47" t="s">
        <v>7</v>
      </c>
      <c r="V22" s="140" t="s">
        <v>7</v>
      </c>
      <c r="W22" s="57" t="s">
        <v>116</v>
      </c>
      <c r="X22" s="47" t="s">
        <v>7</v>
      </c>
      <c r="Y22" s="47" t="s">
        <v>7</v>
      </c>
      <c r="Z22" s="47" t="s">
        <v>7</v>
      </c>
      <c r="AA22" s="47" t="s">
        <v>7</v>
      </c>
      <c r="AB22" s="47" t="s">
        <v>7</v>
      </c>
      <c r="AC22" s="47" t="s">
        <v>7</v>
      </c>
      <c r="AD22" s="57" t="s">
        <v>116</v>
      </c>
      <c r="AE22" s="47" t="s">
        <v>7</v>
      </c>
      <c r="AF22" s="47" t="s">
        <v>7</v>
      </c>
      <c r="AG22" s="47" t="s">
        <v>7</v>
      </c>
      <c r="AH22" s="47" t="s">
        <v>7</v>
      </c>
      <c r="AI22" s="47" t="s">
        <v>7</v>
      </c>
      <c r="AJ22" s="107" t="s">
        <v>116</v>
      </c>
      <c r="AK22" s="3"/>
      <c r="AL22" s="3"/>
      <c r="AM22" s="3"/>
      <c r="AN22" s="3"/>
      <c r="AO22" s="3"/>
    </row>
    <row r="23" spans="1:41" x14ac:dyDescent="0.2">
      <c r="A23" s="3"/>
      <c r="B23" s="68"/>
      <c r="C23" s="69"/>
      <c r="D23" s="29"/>
      <c r="E23" s="29"/>
      <c r="F23" s="160"/>
      <c r="G23" s="160"/>
      <c r="H23" s="160"/>
      <c r="I23" s="160"/>
      <c r="J23" s="56"/>
      <c r="K23" s="160"/>
      <c r="L23" s="160"/>
      <c r="M23" s="160"/>
      <c r="N23" s="160"/>
      <c r="O23" s="160"/>
      <c r="P23" s="56"/>
      <c r="Q23" s="161"/>
      <c r="R23" s="160"/>
      <c r="S23" s="160"/>
      <c r="T23" s="160"/>
      <c r="U23" s="160"/>
      <c r="V23" s="160"/>
      <c r="W23" s="56"/>
      <c r="X23" s="160"/>
      <c r="Y23" s="160"/>
      <c r="Z23" s="160"/>
      <c r="AA23" s="160"/>
      <c r="AB23" s="160"/>
      <c r="AC23" s="160"/>
      <c r="AD23" s="56"/>
      <c r="AE23" s="160"/>
      <c r="AF23" s="160"/>
      <c r="AG23" s="160"/>
      <c r="AH23" s="160"/>
      <c r="AI23" s="160"/>
      <c r="AJ23" s="119"/>
      <c r="AK23" s="3"/>
      <c r="AL23" s="3"/>
      <c r="AM23" s="3"/>
      <c r="AN23" s="3"/>
      <c r="AO23" s="3"/>
    </row>
    <row r="24" spans="1:41" x14ac:dyDescent="0.2">
      <c r="A24" s="3"/>
      <c r="B24" s="82">
        <v>5956003</v>
      </c>
      <c r="C24" s="83" t="s">
        <v>53</v>
      </c>
      <c r="D24" s="30" t="s">
        <v>54</v>
      </c>
      <c r="E24" s="30" t="s">
        <v>24</v>
      </c>
      <c r="F24" s="120" t="s">
        <v>7</v>
      </c>
      <c r="G24" s="120" t="s">
        <v>7</v>
      </c>
      <c r="H24" s="120" t="s">
        <v>7</v>
      </c>
      <c r="I24" s="120" t="s">
        <v>7</v>
      </c>
      <c r="J24" s="54" t="s">
        <v>116</v>
      </c>
      <c r="K24" s="55" t="s">
        <v>10</v>
      </c>
      <c r="L24" s="55" t="s">
        <v>10</v>
      </c>
      <c r="M24" s="55" t="s">
        <v>10</v>
      </c>
      <c r="N24" s="55" t="s">
        <v>10</v>
      </c>
      <c r="O24" s="55" t="s">
        <v>10</v>
      </c>
      <c r="P24" s="55" t="s">
        <v>10</v>
      </c>
      <c r="Q24" s="54" t="s">
        <v>116</v>
      </c>
      <c r="R24" s="55" t="s">
        <v>10</v>
      </c>
      <c r="S24" s="55" t="s">
        <v>10</v>
      </c>
      <c r="T24" s="55" t="s">
        <v>10</v>
      </c>
      <c r="U24" s="55" t="s">
        <v>10</v>
      </c>
      <c r="V24" s="55" t="s">
        <v>10</v>
      </c>
      <c r="W24" s="55" t="s">
        <v>10</v>
      </c>
      <c r="X24" s="54" t="s">
        <v>116</v>
      </c>
      <c r="Y24" s="45" t="s">
        <v>7</v>
      </c>
      <c r="Z24" s="45" t="s">
        <v>7</v>
      </c>
      <c r="AA24" s="45" t="s">
        <v>7</v>
      </c>
      <c r="AB24" s="45" t="s">
        <v>7</v>
      </c>
      <c r="AC24" s="45" t="s">
        <v>7</v>
      </c>
      <c r="AD24" s="45" t="s">
        <v>7</v>
      </c>
      <c r="AE24" s="54" t="s">
        <v>116</v>
      </c>
      <c r="AF24" s="45" t="s">
        <v>7</v>
      </c>
      <c r="AG24" s="45" t="s">
        <v>7</v>
      </c>
      <c r="AH24" s="45" t="s">
        <v>7</v>
      </c>
      <c r="AI24" s="45" t="s">
        <v>7</v>
      </c>
      <c r="AJ24" s="162" t="s">
        <v>7</v>
      </c>
      <c r="AK24" s="3"/>
      <c r="AL24" s="3"/>
      <c r="AM24" s="3"/>
      <c r="AN24" s="3"/>
      <c r="AO24" s="3"/>
    </row>
    <row r="25" spans="1:41" x14ac:dyDescent="0.2">
      <c r="A25" s="3"/>
      <c r="B25" s="31">
        <v>7815844</v>
      </c>
      <c r="C25" s="32" t="s">
        <v>55</v>
      </c>
      <c r="D25" s="33" t="s">
        <v>56</v>
      </c>
      <c r="E25" s="33" t="s">
        <v>24</v>
      </c>
      <c r="F25" s="9" t="s">
        <v>10</v>
      </c>
      <c r="G25" s="9" t="s">
        <v>10</v>
      </c>
      <c r="H25" s="9" t="s">
        <v>10</v>
      </c>
      <c r="I25" s="9" t="s">
        <v>10</v>
      </c>
      <c r="J25" s="57" t="s">
        <v>116</v>
      </c>
      <c r="K25" s="10" t="s">
        <v>7</v>
      </c>
      <c r="L25" s="10" t="s">
        <v>7</v>
      </c>
      <c r="M25" s="10" t="s">
        <v>7</v>
      </c>
      <c r="N25" s="10" t="s">
        <v>7</v>
      </c>
      <c r="O25" s="10" t="s">
        <v>7</v>
      </c>
      <c r="P25" s="10" t="s">
        <v>7</v>
      </c>
      <c r="Q25" s="57" t="s">
        <v>116</v>
      </c>
      <c r="R25" s="10" t="s">
        <v>7</v>
      </c>
      <c r="S25" s="10" t="s">
        <v>7</v>
      </c>
      <c r="T25" s="10" t="s">
        <v>7</v>
      </c>
      <c r="U25" s="10" t="s">
        <v>7</v>
      </c>
      <c r="V25" s="10" t="s">
        <v>7</v>
      </c>
      <c r="W25" s="10" t="s">
        <v>7</v>
      </c>
      <c r="X25" s="57" t="s">
        <v>116</v>
      </c>
      <c r="Y25" s="48" t="s">
        <v>7</v>
      </c>
      <c r="Z25" s="9" t="s">
        <v>10</v>
      </c>
      <c r="AA25" s="9" t="s">
        <v>10</v>
      </c>
      <c r="AB25" s="9" t="s">
        <v>10</v>
      </c>
      <c r="AC25" s="108" t="s">
        <v>22</v>
      </c>
      <c r="AD25" s="47" t="s">
        <v>7</v>
      </c>
      <c r="AE25" s="57" t="s">
        <v>116</v>
      </c>
      <c r="AF25" s="48" t="s">
        <v>7</v>
      </c>
      <c r="AG25" s="48" t="s">
        <v>7</v>
      </c>
      <c r="AH25" s="48" t="s">
        <v>7</v>
      </c>
      <c r="AI25" s="163" t="s">
        <v>7</v>
      </c>
      <c r="AJ25" s="114" t="s">
        <v>9</v>
      </c>
      <c r="AK25" s="3"/>
      <c r="AL25" s="3"/>
      <c r="AM25" s="3"/>
      <c r="AN25" s="3"/>
      <c r="AO25" s="3"/>
    </row>
    <row r="26" spans="1:41" x14ac:dyDescent="0.2">
      <c r="A26" s="3"/>
      <c r="B26" s="31">
        <v>5012880</v>
      </c>
      <c r="C26" s="32" t="s">
        <v>57</v>
      </c>
      <c r="D26" s="33" t="s">
        <v>58</v>
      </c>
      <c r="E26" s="33" t="s">
        <v>24</v>
      </c>
      <c r="F26" s="10" t="s">
        <v>7</v>
      </c>
      <c r="G26" s="10" t="s">
        <v>7</v>
      </c>
      <c r="H26" s="10" t="s">
        <v>7</v>
      </c>
      <c r="I26" s="10" t="s">
        <v>7</v>
      </c>
      <c r="J26" s="57" t="s">
        <v>116</v>
      </c>
      <c r="K26" s="108" t="s">
        <v>22</v>
      </c>
      <c r="L26" s="10" t="s">
        <v>7</v>
      </c>
      <c r="M26" s="58" t="s">
        <v>9</v>
      </c>
      <c r="N26" s="58" t="s">
        <v>9</v>
      </c>
      <c r="O26" s="108" t="s">
        <v>22</v>
      </c>
      <c r="P26" s="48" t="s">
        <v>7</v>
      </c>
      <c r="Q26" s="57" t="s">
        <v>116</v>
      </c>
      <c r="R26" s="48" t="s">
        <v>7</v>
      </c>
      <c r="S26" s="48" t="s">
        <v>7</v>
      </c>
      <c r="T26" s="48" t="s">
        <v>7</v>
      </c>
      <c r="U26" s="48" t="s">
        <v>7</v>
      </c>
      <c r="V26" s="48" t="s">
        <v>7</v>
      </c>
      <c r="W26" s="48" t="s">
        <v>7</v>
      </c>
      <c r="X26" s="57" t="s">
        <v>116</v>
      </c>
      <c r="Y26" s="48" t="s">
        <v>7</v>
      </c>
      <c r="Z26" s="48" t="s">
        <v>7</v>
      </c>
      <c r="AA26" s="48" t="s">
        <v>7</v>
      </c>
      <c r="AB26" s="48" t="s">
        <v>7</v>
      </c>
      <c r="AC26" s="48" t="s">
        <v>7</v>
      </c>
      <c r="AD26" s="48" t="s">
        <v>7</v>
      </c>
      <c r="AE26" s="57" t="s">
        <v>116</v>
      </c>
      <c r="AF26" s="108" t="s">
        <v>22</v>
      </c>
      <c r="AG26" s="108" t="s">
        <v>22</v>
      </c>
      <c r="AH26" s="108" t="s">
        <v>22</v>
      </c>
      <c r="AI26" s="108" t="s">
        <v>22</v>
      </c>
      <c r="AJ26" s="108" t="s">
        <v>22</v>
      </c>
      <c r="AK26" s="3"/>
      <c r="AL26" s="3"/>
      <c r="AM26" s="3"/>
      <c r="AN26" s="3"/>
      <c r="AO26" s="3"/>
    </row>
    <row r="27" spans="1:41" x14ac:dyDescent="0.2">
      <c r="A27" s="3"/>
      <c r="B27" s="31">
        <v>7743929</v>
      </c>
      <c r="C27" s="32" t="s">
        <v>59</v>
      </c>
      <c r="D27" s="33" t="s">
        <v>60</v>
      </c>
      <c r="E27" s="33" t="s">
        <v>24</v>
      </c>
      <c r="F27" s="48" t="s">
        <v>7</v>
      </c>
      <c r="G27" s="48" t="s">
        <v>7</v>
      </c>
      <c r="H27" s="48" t="s">
        <v>7</v>
      </c>
      <c r="I27" s="48" t="s">
        <v>7</v>
      </c>
      <c r="J27" s="57" t="s">
        <v>116</v>
      </c>
      <c r="K27" s="115" t="s">
        <v>7</v>
      </c>
      <c r="L27" s="115" t="s">
        <v>7</v>
      </c>
      <c r="M27" s="115" t="s">
        <v>7</v>
      </c>
      <c r="N27" s="115" t="s">
        <v>7</v>
      </c>
      <c r="O27" s="115" t="s">
        <v>7</v>
      </c>
      <c r="P27" s="115" t="s">
        <v>7</v>
      </c>
      <c r="Q27" s="57" t="s">
        <v>116</v>
      </c>
      <c r="R27" s="9" t="s">
        <v>10</v>
      </c>
      <c r="S27" s="9" t="s">
        <v>10</v>
      </c>
      <c r="T27" s="9" t="s">
        <v>10</v>
      </c>
      <c r="U27" s="9" t="s">
        <v>10</v>
      </c>
      <c r="V27" s="9" t="s">
        <v>10</v>
      </c>
      <c r="W27" s="9" t="s">
        <v>10</v>
      </c>
      <c r="X27" s="57" t="s">
        <v>116</v>
      </c>
      <c r="Y27" s="9" t="s">
        <v>10</v>
      </c>
      <c r="Z27" s="9" t="s">
        <v>10</v>
      </c>
      <c r="AA27" s="9" t="s">
        <v>10</v>
      </c>
      <c r="AB27" s="9" t="s">
        <v>10</v>
      </c>
      <c r="AC27" s="9" t="s">
        <v>10</v>
      </c>
      <c r="AD27" s="9" t="s">
        <v>10</v>
      </c>
      <c r="AE27" s="57" t="s">
        <v>116</v>
      </c>
      <c r="AF27" s="48" t="s">
        <v>7</v>
      </c>
      <c r="AG27" s="48" t="s">
        <v>7</v>
      </c>
      <c r="AH27" s="48" t="s">
        <v>7</v>
      </c>
      <c r="AI27" s="48" t="s">
        <v>7</v>
      </c>
      <c r="AJ27" s="164" t="s">
        <v>7</v>
      </c>
      <c r="AK27" s="3"/>
      <c r="AL27" s="3"/>
      <c r="AM27" s="3"/>
      <c r="AN27" s="3"/>
      <c r="AO27" s="3"/>
    </row>
    <row r="28" spans="1:41" x14ac:dyDescent="0.2">
      <c r="A28" s="3"/>
      <c r="B28" s="31">
        <v>7804315</v>
      </c>
      <c r="C28" s="32" t="s">
        <v>61</v>
      </c>
      <c r="D28" s="33" t="s">
        <v>62</v>
      </c>
      <c r="E28" s="33" t="s">
        <v>27</v>
      </c>
      <c r="F28" s="9" t="s">
        <v>10</v>
      </c>
      <c r="G28" s="9" t="s">
        <v>10</v>
      </c>
      <c r="H28" s="9" t="s">
        <v>10</v>
      </c>
      <c r="I28" s="9" t="s">
        <v>10</v>
      </c>
      <c r="J28" s="57" t="s">
        <v>116</v>
      </c>
      <c r="K28" s="9" t="s">
        <v>10</v>
      </c>
      <c r="L28" s="9" t="s">
        <v>10</v>
      </c>
      <c r="M28" s="9" t="s">
        <v>10</v>
      </c>
      <c r="N28" s="9" t="s">
        <v>10</v>
      </c>
      <c r="O28" s="108" t="s">
        <v>22</v>
      </c>
      <c r="P28" s="115" t="s">
        <v>7</v>
      </c>
      <c r="Q28" s="57" t="s">
        <v>116</v>
      </c>
      <c r="R28" s="48" t="s">
        <v>7</v>
      </c>
      <c r="S28" s="187" t="s">
        <v>119</v>
      </c>
      <c r="T28" s="48" t="s">
        <v>7</v>
      </c>
      <c r="U28" s="48" t="s">
        <v>7</v>
      </c>
      <c r="V28" s="48" t="s">
        <v>7</v>
      </c>
      <c r="W28" s="48" t="s">
        <v>7</v>
      </c>
      <c r="X28" s="57" t="s">
        <v>116</v>
      </c>
      <c r="Y28" s="48" t="s">
        <v>7</v>
      </c>
      <c r="Z28" s="48" t="s">
        <v>7</v>
      </c>
      <c r="AA28" s="48" t="s">
        <v>7</v>
      </c>
      <c r="AB28" s="48" t="s">
        <v>7</v>
      </c>
      <c r="AC28" s="48" t="s">
        <v>7</v>
      </c>
      <c r="AD28" s="48" t="s">
        <v>7</v>
      </c>
      <c r="AE28" s="57" t="s">
        <v>116</v>
      </c>
      <c r="AF28" s="9" t="s">
        <v>10</v>
      </c>
      <c r="AG28" s="9" t="s">
        <v>10</v>
      </c>
      <c r="AH28" s="9" t="s">
        <v>10</v>
      </c>
      <c r="AI28" s="9" t="s">
        <v>10</v>
      </c>
      <c r="AJ28" s="11" t="s">
        <v>10</v>
      </c>
      <c r="AK28" s="3"/>
      <c r="AL28" s="3"/>
      <c r="AM28" s="3"/>
      <c r="AN28" s="3"/>
      <c r="AO28" s="3"/>
    </row>
    <row r="29" spans="1:41" x14ac:dyDescent="0.2">
      <c r="A29" s="3"/>
      <c r="B29" s="31">
        <v>7804355</v>
      </c>
      <c r="C29" s="32" t="s">
        <v>63</v>
      </c>
      <c r="D29" s="33" t="s">
        <v>64</v>
      </c>
      <c r="E29" s="33" t="s">
        <v>24</v>
      </c>
      <c r="F29" s="10" t="s">
        <v>7</v>
      </c>
      <c r="G29" s="10" t="s">
        <v>7</v>
      </c>
      <c r="H29" s="10" t="s">
        <v>7</v>
      </c>
      <c r="I29" s="10" t="s">
        <v>7</v>
      </c>
      <c r="J29" s="57" t="s">
        <v>116</v>
      </c>
      <c r="K29" s="48" t="s">
        <v>7</v>
      </c>
      <c r="L29" s="48" t="s">
        <v>7</v>
      </c>
      <c r="M29" s="48" t="s">
        <v>7</v>
      </c>
      <c r="N29" s="48" t="s">
        <v>7</v>
      </c>
      <c r="O29" s="48" t="s">
        <v>7</v>
      </c>
      <c r="P29" s="48" t="s">
        <v>7</v>
      </c>
      <c r="Q29" s="57" t="s">
        <v>116</v>
      </c>
      <c r="R29" s="48" t="s">
        <v>7</v>
      </c>
      <c r="S29" s="48" t="s">
        <v>7</v>
      </c>
      <c r="T29" s="48" t="s">
        <v>7</v>
      </c>
      <c r="U29" s="48" t="s">
        <v>7</v>
      </c>
      <c r="V29" s="48" t="s">
        <v>7</v>
      </c>
      <c r="W29" s="48" t="s">
        <v>7</v>
      </c>
      <c r="X29" s="57" t="s">
        <v>116</v>
      </c>
      <c r="Y29" s="9" t="s">
        <v>10</v>
      </c>
      <c r="Z29" s="9" t="s">
        <v>10</v>
      </c>
      <c r="AA29" s="9" t="s">
        <v>10</v>
      </c>
      <c r="AB29" s="9" t="s">
        <v>10</v>
      </c>
      <c r="AC29" s="9" t="s">
        <v>10</v>
      </c>
      <c r="AD29" s="9" t="s">
        <v>10</v>
      </c>
      <c r="AE29" s="57" t="s">
        <v>116</v>
      </c>
      <c r="AF29" s="48" t="s">
        <v>7</v>
      </c>
      <c r="AG29" s="165" t="s">
        <v>7</v>
      </c>
      <c r="AH29" s="165" t="s">
        <v>7</v>
      </c>
      <c r="AI29" s="165" t="s">
        <v>7</v>
      </c>
      <c r="AJ29" s="166" t="s">
        <v>7</v>
      </c>
      <c r="AK29" s="3"/>
      <c r="AL29" s="3"/>
      <c r="AM29" s="3"/>
      <c r="AN29" s="3"/>
      <c r="AO29" s="3"/>
    </row>
    <row r="30" spans="1:41" x14ac:dyDescent="0.2">
      <c r="A30" s="3"/>
      <c r="B30" s="31">
        <v>5828232</v>
      </c>
      <c r="C30" s="32" t="s">
        <v>65</v>
      </c>
      <c r="D30" s="33" t="s">
        <v>66</v>
      </c>
      <c r="E30" s="33" t="s">
        <v>24</v>
      </c>
      <c r="F30" s="9" t="s">
        <v>10</v>
      </c>
      <c r="G30" s="9" t="s">
        <v>10</v>
      </c>
      <c r="H30" s="9" t="s">
        <v>10</v>
      </c>
      <c r="I30" s="57" t="s">
        <v>116</v>
      </c>
      <c r="J30" s="121" t="s">
        <v>22</v>
      </c>
      <c r="K30" s="121" t="s">
        <v>22</v>
      </c>
      <c r="L30" s="121" t="s">
        <v>22</v>
      </c>
      <c r="M30" s="121" t="s">
        <v>22</v>
      </c>
      <c r="N30" s="121" t="s">
        <v>22</v>
      </c>
      <c r="O30" s="121" t="s">
        <v>22</v>
      </c>
      <c r="P30" s="161" t="s">
        <v>9</v>
      </c>
      <c r="Q30" s="57" t="s">
        <v>116</v>
      </c>
      <c r="R30" s="9" t="s">
        <v>10</v>
      </c>
      <c r="S30" s="9" t="s">
        <v>10</v>
      </c>
      <c r="T30" s="9" t="s">
        <v>10</v>
      </c>
      <c r="U30" s="9" t="s">
        <v>10</v>
      </c>
      <c r="V30" s="187" t="s">
        <v>119</v>
      </c>
      <c r="W30" s="9" t="s">
        <v>10</v>
      </c>
      <c r="X30" s="57" t="s">
        <v>116</v>
      </c>
      <c r="Y30" s="9" t="s">
        <v>10</v>
      </c>
      <c r="Z30" s="9" t="s">
        <v>10</v>
      </c>
      <c r="AA30" s="9" t="s">
        <v>10</v>
      </c>
      <c r="AB30" s="9" t="s">
        <v>10</v>
      </c>
      <c r="AC30" s="9" t="s">
        <v>10</v>
      </c>
      <c r="AD30" s="9" t="s">
        <v>10</v>
      </c>
      <c r="AE30" s="57" t="s">
        <v>116</v>
      </c>
      <c r="AF30" s="121" t="s">
        <v>22</v>
      </c>
      <c r="AG30" s="121" t="s">
        <v>22</v>
      </c>
      <c r="AH30" s="121" t="s">
        <v>22</v>
      </c>
      <c r="AI30" s="121" t="s">
        <v>22</v>
      </c>
      <c r="AJ30" s="122" t="s">
        <v>22</v>
      </c>
      <c r="AK30" s="3"/>
      <c r="AL30" s="3"/>
      <c r="AM30" s="3"/>
      <c r="AN30" s="3"/>
      <c r="AO30" s="3"/>
    </row>
    <row r="31" spans="1:41" x14ac:dyDescent="0.2">
      <c r="A31" s="3"/>
      <c r="B31" s="34">
        <v>7904754</v>
      </c>
      <c r="C31" s="35" t="s">
        <v>67</v>
      </c>
      <c r="D31" s="36" t="s">
        <v>68</v>
      </c>
      <c r="E31" s="36" t="s">
        <v>24</v>
      </c>
      <c r="F31" s="109" t="s">
        <v>10</v>
      </c>
      <c r="G31" s="109" t="s">
        <v>10</v>
      </c>
      <c r="H31" s="109" t="s">
        <v>10</v>
      </c>
      <c r="I31" s="109" t="s">
        <v>10</v>
      </c>
      <c r="J31" s="56" t="s">
        <v>116</v>
      </c>
      <c r="K31" s="167" t="s">
        <v>7</v>
      </c>
      <c r="L31" s="167" t="s">
        <v>7</v>
      </c>
      <c r="M31" s="167" t="s">
        <v>7</v>
      </c>
      <c r="N31" s="167" t="s">
        <v>7</v>
      </c>
      <c r="O31" s="167" t="s">
        <v>7</v>
      </c>
      <c r="P31" s="58" t="s">
        <v>120</v>
      </c>
      <c r="Q31" s="56" t="s">
        <v>116</v>
      </c>
      <c r="R31" s="167" t="s">
        <v>7</v>
      </c>
      <c r="S31" s="167" t="s">
        <v>7</v>
      </c>
      <c r="T31" s="167" t="s">
        <v>7</v>
      </c>
      <c r="U31" s="167" t="s">
        <v>7</v>
      </c>
      <c r="V31" s="167" t="s">
        <v>7</v>
      </c>
      <c r="W31" s="167" t="s">
        <v>7</v>
      </c>
      <c r="X31" s="56" t="s">
        <v>116</v>
      </c>
      <c r="Y31" s="168" t="s">
        <v>7</v>
      </c>
      <c r="Z31" s="109" t="s">
        <v>10</v>
      </c>
      <c r="AA31" s="109" t="s">
        <v>10</v>
      </c>
      <c r="AB31" s="109" t="s">
        <v>10</v>
      </c>
      <c r="AC31" s="121" t="s">
        <v>22</v>
      </c>
      <c r="AD31" s="168" t="s">
        <v>7</v>
      </c>
      <c r="AE31" s="56" t="s">
        <v>116</v>
      </c>
      <c r="AF31" s="168" t="s">
        <v>7</v>
      </c>
      <c r="AG31" s="167" t="s">
        <v>7</v>
      </c>
      <c r="AH31" s="168" t="s">
        <v>7</v>
      </c>
      <c r="AI31" s="168" t="s">
        <v>7</v>
      </c>
      <c r="AJ31" s="168" t="s">
        <v>7</v>
      </c>
      <c r="AK31" s="3"/>
      <c r="AL31" s="3"/>
      <c r="AM31" s="3"/>
      <c r="AN31" s="3"/>
      <c r="AO31" s="3"/>
    </row>
    <row r="32" spans="1:41" x14ac:dyDescent="0.2">
      <c r="A32" s="3"/>
      <c r="B32" s="124" t="s">
        <v>69</v>
      </c>
      <c r="C32" s="125" t="s">
        <v>70</v>
      </c>
      <c r="D32" s="126" t="s">
        <v>71</v>
      </c>
      <c r="E32" s="37" t="s">
        <v>24</v>
      </c>
      <c r="F32" s="144" t="s">
        <v>10</v>
      </c>
      <c r="G32" s="144" t="s">
        <v>10</v>
      </c>
      <c r="H32" s="144" t="s">
        <v>10</v>
      </c>
      <c r="I32" s="144" t="s">
        <v>10</v>
      </c>
      <c r="J32" s="144" t="s">
        <v>10</v>
      </c>
      <c r="K32" s="169" t="s">
        <v>116</v>
      </c>
      <c r="L32" s="55" t="s">
        <v>10</v>
      </c>
      <c r="M32" s="55" t="s">
        <v>10</v>
      </c>
      <c r="N32" s="55" t="s">
        <v>10</v>
      </c>
      <c r="O32" s="55" t="s">
        <v>10</v>
      </c>
      <c r="P32" s="55" t="s">
        <v>10</v>
      </c>
      <c r="Q32" s="170" t="s">
        <v>8</v>
      </c>
      <c r="R32" s="142" t="s">
        <v>116</v>
      </c>
      <c r="S32" s="171" t="s">
        <v>7</v>
      </c>
      <c r="T32" s="172" t="s">
        <v>7</v>
      </c>
      <c r="U32" s="172" t="s">
        <v>7</v>
      </c>
      <c r="V32" s="172" t="s">
        <v>7</v>
      </c>
      <c r="W32" s="172" t="s">
        <v>7</v>
      </c>
      <c r="X32" s="172" t="s">
        <v>7</v>
      </c>
      <c r="Y32" s="54" t="s">
        <v>116</v>
      </c>
      <c r="Z32" s="172" t="s">
        <v>7</v>
      </c>
      <c r="AA32" s="172" t="s">
        <v>7</v>
      </c>
      <c r="AB32" s="172" t="s">
        <v>7</v>
      </c>
      <c r="AC32" s="172" t="s">
        <v>7</v>
      </c>
      <c r="AD32" s="172" t="s">
        <v>7</v>
      </c>
      <c r="AE32" s="54" t="s">
        <v>116</v>
      </c>
      <c r="AF32" s="172" t="s">
        <v>7</v>
      </c>
      <c r="AG32" s="172" t="s">
        <v>7</v>
      </c>
      <c r="AH32" s="172" t="s">
        <v>7</v>
      </c>
      <c r="AI32" s="172" t="s">
        <v>7</v>
      </c>
      <c r="AJ32" s="162" t="s">
        <v>7</v>
      </c>
      <c r="AK32" s="3"/>
      <c r="AL32" s="3"/>
      <c r="AM32" s="3"/>
      <c r="AN32" s="3"/>
      <c r="AO32" s="3"/>
    </row>
    <row r="33" spans="1:41" x14ac:dyDescent="0.2">
      <c r="A33" s="3"/>
      <c r="B33" s="127">
        <v>7828242</v>
      </c>
      <c r="C33" s="128" t="s">
        <v>72</v>
      </c>
      <c r="D33" s="129" t="s">
        <v>73</v>
      </c>
      <c r="E33" s="22" t="s">
        <v>24</v>
      </c>
      <c r="F33" s="10" t="s">
        <v>7</v>
      </c>
      <c r="G33" s="10" t="s">
        <v>7</v>
      </c>
      <c r="H33" s="10" t="s">
        <v>7</v>
      </c>
      <c r="I33" s="10" t="s">
        <v>7</v>
      </c>
      <c r="J33" s="10" t="s">
        <v>7</v>
      </c>
      <c r="K33" s="152" t="s">
        <v>116</v>
      </c>
      <c r="L33" s="14" t="s">
        <v>10</v>
      </c>
      <c r="M33" s="14" t="s">
        <v>10</v>
      </c>
      <c r="N33" s="14" t="s">
        <v>10</v>
      </c>
      <c r="O33" s="14" t="s">
        <v>10</v>
      </c>
      <c r="P33" s="14" t="s">
        <v>10</v>
      </c>
      <c r="Q33" s="14" t="s">
        <v>10</v>
      </c>
      <c r="R33" s="57" t="s">
        <v>116</v>
      </c>
      <c r="S33" s="10" t="s">
        <v>7</v>
      </c>
      <c r="T33" s="10" t="s">
        <v>7</v>
      </c>
      <c r="U33" s="10" t="s">
        <v>7</v>
      </c>
      <c r="V33" s="10" t="s">
        <v>7</v>
      </c>
      <c r="W33" s="10" t="s">
        <v>7</v>
      </c>
      <c r="X33" s="10" t="s">
        <v>7</v>
      </c>
      <c r="Y33" s="173" t="s">
        <v>116</v>
      </c>
      <c r="Z33" s="10" t="s">
        <v>7</v>
      </c>
      <c r="AA33" s="10" t="s">
        <v>7</v>
      </c>
      <c r="AB33" s="10" t="s">
        <v>7</v>
      </c>
      <c r="AC33" s="10" t="s">
        <v>7</v>
      </c>
      <c r="AD33" s="10" t="s">
        <v>7</v>
      </c>
      <c r="AE33" s="10" t="s">
        <v>7</v>
      </c>
      <c r="AF33" s="173" t="s">
        <v>116</v>
      </c>
      <c r="AG33" s="10" t="s">
        <v>7</v>
      </c>
      <c r="AH33" s="10" t="s">
        <v>7</v>
      </c>
      <c r="AI33" s="10" t="s">
        <v>7</v>
      </c>
      <c r="AJ33" s="117" t="s">
        <v>7</v>
      </c>
      <c r="AK33" s="3"/>
      <c r="AL33" s="3"/>
      <c r="AM33" s="3"/>
      <c r="AN33" s="3"/>
      <c r="AO33" s="3"/>
    </row>
    <row r="34" spans="1:41" x14ac:dyDescent="0.2">
      <c r="A34" s="3"/>
      <c r="B34" s="84">
        <v>6227745</v>
      </c>
      <c r="C34" s="85" t="s">
        <v>74</v>
      </c>
      <c r="D34" s="86" t="s">
        <v>75</v>
      </c>
      <c r="E34" s="22" t="s">
        <v>24</v>
      </c>
      <c r="F34" s="48" t="s">
        <v>7</v>
      </c>
      <c r="G34" s="48" t="s">
        <v>7</v>
      </c>
      <c r="H34" s="48" t="s">
        <v>7</v>
      </c>
      <c r="I34" s="48" t="s">
        <v>7</v>
      </c>
      <c r="J34" s="48" t="s">
        <v>7</v>
      </c>
      <c r="K34" s="57" t="s">
        <v>116</v>
      </c>
      <c r="L34" s="48" t="s">
        <v>7</v>
      </c>
      <c r="M34" s="48" t="s">
        <v>7</v>
      </c>
      <c r="N34" s="48" t="s">
        <v>7</v>
      </c>
      <c r="O34" s="48" t="s">
        <v>7</v>
      </c>
      <c r="P34" s="48" t="s">
        <v>7</v>
      </c>
      <c r="Q34" s="48" t="s">
        <v>7</v>
      </c>
      <c r="R34" s="15" t="s">
        <v>116</v>
      </c>
      <c r="S34" s="108" t="s">
        <v>22</v>
      </c>
      <c r="T34" s="108" t="s">
        <v>22</v>
      </c>
      <c r="U34" s="108" t="s">
        <v>22</v>
      </c>
      <c r="V34" s="108" t="s">
        <v>22</v>
      </c>
      <c r="W34" s="108" t="s">
        <v>22</v>
      </c>
      <c r="X34" s="108" t="s">
        <v>22</v>
      </c>
      <c r="Y34" s="57" t="s">
        <v>116</v>
      </c>
      <c r="Z34" s="48" t="s">
        <v>7</v>
      </c>
      <c r="AA34" s="48" t="s">
        <v>7</v>
      </c>
      <c r="AB34" s="48" t="s">
        <v>7</v>
      </c>
      <c r="AC34" s="187" t="s">
        <v>119</v>
      </c>
      <c r="AD34" s="48" t="s">
        <v>7</v>
      </c>
      <c r="AE34" s="48" t="s">
        <v>7</v>
      </c>
      <c r="AF34" s="152" t="s">
        <v>116</v>
      </c>
      <c r="AG34" s="48" t="s">
        <v>7</v>
      </c>
      <c r="AH34" s="48" t="s">
        <v>7</v>
      </c>
      <c r="AI34" s="48" t="s">
        <v>7</v>
      </c>
      <c r="AJ34" s="116" t="s">
        <v>7</v>
      </c>
      <c r="AK34" s="3"/>
      <c r="AL34" s="3"/>
      <c r="AM34" s="3"/>
      <c r="AN34" s="3"/>
      <c r="AO34" s="3"/>
    </row>
    <row r="35" spans="1:41" x14ac:dyDescent="0.2">
      <c r="A35" s="3"/>
      <c r="B35" s="130">
        <v>7730037</v>
      </c>
      <c r="C35" s="131" t="s">
        <v>76</v>
      </c>
      <c r="D35" s="132" t="s">
        <v>77</v>
      </c>
      <c r="E35" s="133" t="s">
        <v>27</v>
      </c>
      <c r="F35" s="108" t="s">
        <v>22</v>
      </c>
      <c r="G35" s="108" t="s">
        <v>22</v>
      </c>
      <c r="H35" s="108" t="s">
        <v>22</v>
      </c>
      <c r="I35" s="108" t="s">
        <v>22</v>
      </c>
      <c r="J35" s="108" t="s">
        <v>22</v>
      </c>
      <c r="K35" s="57" t="s">
        <v>116</v>
      </c>
      <c r="L35" s="108" t="s">
        <v>22</v>
      </c>
      <c r="M35" s="10" t="s">
        <v>7</v>
      </c>
      <c r="N35" s="108" t="s">
        <v>22</v>
      </c>
      <c r="O35" s="108" t="s">
        <v>22</v>
      </c>
      <c r="P35" s="10" t="s">
        <v>7</v>
      </c>
      <c r="Q35" s="10" t="s">
        <v>7</v>
      </c>
      <c r="R35" s="57" t="s">
        <v>116</v>
      </c>
      <c r="S35" s="9" t="s">
        <v>10</v>
      </c>
      <c r="T35" s="9" t="s">
        <v>10</v>
      </c>
      <c r="U35" s="9" t="s">
        <v>10</v>
      </c>
      <c r="V35" s="9" t="s">
        <v>10</v>
      </c>
      <c r="W35" s="9" t="s">
        <v>10</v>
      </c>
      <c r="X35" s="9" t="s">
        <v>10</v>
      </c>
      <c r="Y35" s="57" t="s">
        <v>116</v>
      </c>
      <c r="Z35" s="108" t="s">
        <v>22</v>
      </c>
      <c r="AA35" s="187" t="s">
        <v>84</v>
      </c>
      <c r="AB35" s="108" t="s">
        <v>22</v>
      </c>
      <c r="AC35" s="108" t="s">
        <v>22</v>
      </c>
      <c r="AD35" s="108" t="s">
        <v>22</v>
      </c>
      <c r="AE35" s="108" t="s">
        <v>22</v>
      </c>
      <c r="AF35" s="57" t="s">
        <v>116</v>
      </c>
      <c r="AG35" s="9" t="s">
        <v>10</v>
      </c>
      <c r="AH35" s="9" t="s">
        <v>10</v>
      </c>
      <c r="AI35" s="9" t="s">
        <v>10</v>
      </c>
      <c r="AJ35" s="11" t="s">
        <v>10</v>
      </c>
      <c r="AK35" s="3"/>
      <c r="AL35" s="3"/>
      <c r="AM35" s="3"/>
      <c r="AN35" s="3"/>
      <c r="AO35" s="3"/>
    </row>
    <row r="36" spans="1:41" x14ac:dyDescent="0.2">
      <c r="A36" s="3"/>
      <c r="B36" s="127">
        <v>7804271</v>
      </c>
      <c r="C36" s="128" t="s">
        <v>78</v>
      </c>
      <c r="D36" s="129" t="s">
        <v>79</v>
      </c>
      <c r="E36" s="22" t="s">
        <v>27</v>
      </c>
      <c r="F36" s="167" t="s">
        <v>7</v>
      </c>
      <c r="G36" s="167" t="s">
        <v>7</v>
      </c>
      <c r="H36" s="167" t="s">
        <v>7</v>
      </c>
      <c r="I36" s="167" t="s">
        <v>7</v>
      </c>
      <c r="J36" s="167" t="s">
        <v>7</v>
      </c>
      <c r="K36" s="57" t="s">
        <v>116</v>
      </c>
      <c r="L36" s="9" t="s">
        <v>10</v>
      </c>
      <c r="M36" s="9" t="s">
        <v>10</v>
      </c>
      <c r="N36" s="9" t="s">
        <v>10</v>
      </c>
      <c r="O36" s="9" t="s">
        <v>10</v>
      </c>
      <c r="P36" s="109" t="s">
        <v>10</v>
      </c>
      <c r="Q36" s="109" t="s">
        <v>10</v>
      </c>
      <c r="R36" s="149" t="s">
        <v>116</v>
      </c>
      <c r="S36" s="104" t="s">
        <v>7</v>
      </c>
      <c r="T36" s="104" t="s">
        <v>7</v>
      </c>
      <c r="U36" s="104" t="s">
        <v>7</v>
      </c>
      <c r="V36" s="104" t="s">
        <v>7</v>
      </c>
      <c r="W36" s="104" t="s">
        <v>7</v>
      </c>
      <c r="X36" s="104" t="s">
        <v>7</v>
      </c>
      <c r="Y36" s="104" t="s">
        <v>7</v>
      </c>
      <c r="Z36" s="104" t="s">
        <v>7</v>
      </c>
      <c r="AA36" s="150" t="s">
        <v>116</v>
      </c>
      <c r="AB36" s="47" t="s">
        <v>7</v>
      </c>
      <c r="AC36" s="47" t="s">
        <v>7</v>
      </c>
      <c r="AD36" s="47" t="s">
        <v>7</v>
      </c>
      <c r="AE36" s="47" t="s">
        <v>7</v>
      </c>
      <c r="AF36" s="57" t="s">
        <v>116</v>
      </c>
      <c r="AG36" s="47" t="s">
        <v>7</v>
      </c>
      <c r="AH36" s="47" t="s">
        <v>7</v>
      </c>
      <c r="AI36" s="47" t="s">
        <v>7</v>
      </c>
      <c r="AJ36" s="49" t="s">
        <v>7</v>
      </c>
      <c r="AK36" s="3"/>
      <c r="AL36" s="3"/>
      <c r="AM36" s="3"/>
      <c r="AN36" s="3"/>
      <c r="AO36" s="3"/>
    </row>
    <row r="37" spans="1:41" x14ac:dyDescent="0.2">
      <c r="A37" s="3"/>
      <c r="B37" s="61">
        <v>7929004</v>
      </c>
      <c r="C37" s="62" t="s">
        <v>80</v>
      </c>
      <c r="D37" s="63" t="s">
        <v>81</v>
      </c>
      <c r="E37" s="87" t="s">
        <v>27</v>
      </c>
      <c r="F37" s="47" t="s">
        <v>7</v>
      </c>
      <c r="G37" s="9" t="s">
        <v>10</v>
      </c>
      <c r="H37" s="9" t="s">
        <v>10</v>
      </c>
      <c r="I37" s="9" t="s">
        <v>10</v>
      </c>
      <c r="J37" s="9" t="s">
        <v>10</v>
      </c>
      <c r="K37" s="57" t="s">
        <v>116</v>
      </c>
      <c r="L37" s="9" t="s">
        <v>10</v>
      </c>
      <c r="M37" s="9" t="s">
        <v>10</v>
      </c>
      <c r="N37" s="9" t="s">
        <v>10</v>
      </c>
      <c r="O37" s="9" t="s">
        <v>10</v>
      </c>
      <c r="P37" s="9" t="s">
        <v>10</v>
      </c>
      <c r="Q37" s="9" t="s">
        <v>10</v>
      </c>
      <c r="R37" s="57" t="s">
        <v>116</v>
      </c>
      <c r="S37" s="47" t="s">
        <v>7</v>
      </c>
      <c r="T37" s="47" t="s">
        <v>7</v>
      </c>
      <c r="U37" s="47" t="s">
        <v>7</v>
      </c>
      <c r="V37" s="47" t="s">
        <v>7</v>
      </c>
      <c r="W37" s="47" t="s">
        <v>7</v>
      </c>
      <c r="X37" s="47" t="s">
        <v>7</v>
      </c>
      <c r="Y37" s="57" t="s">
        <v>116</v>
      </c>
      <c r="Z37" s="47" t="s">
        <v>7</v>
      </c>
      <c r="AA37" s="47" t="s">
        <v>7</v>
      </c>
      <c r="AB37" s="47" t="s">
        <v>7</v>
      </c>
      <c r="AC37" s="47" t="s">
        <v>7</v>
      </c>
      <c r="AD37" s="47" t="s">
        <v>7</v>
      </c>
      <c r="AE37" s="47" t="s">
        <v>7</v>
      </c>
      <c r="AF37" s="145" t="s">
        <v>116</v>
      </c>
      <c r="AG37" s="9" t="s">
        <v>10</v>
      </c>
      <c r="AH37" s="9" t="s">
        <v>10</v>
      </c>
      <c r="AI37" s="9" t="s">
        <v>10</v>
      </c>
      <c r="AJ37" s="11" t="s">
        <v>10</v>
      </c>
      <c r="AK37" s="3"/>
      <c r="AL37" s="3"/>
      <c r="AM37" s="3"/>
      <c r="AN37" s="3"/>
      <c r="AO37" s="3"/>
    </row>
    <row r="38" spans="1:41" ht="15" thickBot="1" x14ac:dyDescent="0.25">
      <c r="A38" s="3"/>
      <c r="B38" s="84">
        <v>7892982</v>
      </c>
      <c r="C38" s="85" t="s">
        <v>82</v>
      </c>
      <c r="D38" s="86" t="s">
        <v>83</v>
      </c>
      <c r="E38" s="22" t="s">
        <v>27</v>
      </c>
      <c r="F38" s="47" t="s">
        <v>7</v>
      </c>
      <c r="G38" s="47" t="s">
        <v>7</v>
      </c>
      <c r="H38" s="47" t="s">
        <v>7</v>
      </c>
      <c r="I38" s="47" t="s">
        <v>7</v>
      </c>
      <c r="J38" s="47" t="s">
        <v>7</v>
      </c>
      <c r="K38" s="57" t="s">
        <v>116</v>
      </c>
      <c r="L38" s="47" t="s">
        <v>7</v>
      </c>
      <c r="M38" s="47" t="s">
        <v>7</v>
      </c>
      <c r="N38" s="47" t="s">
        <v>7</v>
      </c>
      <c r="O38" s="140" t="s">
        <v>7</v>
      </c>
      <c r="P38" s="47" t="s">
        <v>7</v>
      </c>
      <c r="Q38" s="47" t="s">
        <v>7</v>
      </c>
      <c r="R38" s="57" t="s">
        <v>116</v>
      </c>
      <c r="S38" s="9" t="s">
        <v>10</v>
      </c>
      <c r="T38" s="9" t="s">
        <v>10</v>
      </c>
      <c r="U38" s="9" t="s">
        <v>10</v>
      </c>
      <c r="V38" s="9" t="s">
        <v>10</v>
      </c>
      <c r="W38" s="9" t="s">
        <v>10</v>
      </c>
      <c r="X38" s="9" t="s">
        <v>10</v>
      </c>
      <c r="Y38" s="57" t="s">
        <v>116</v>
      </c>
      <c r="Z38" s="109" t="s">
        <v>10</v>
      </c>
      <c r="AA38" s="109" t="s">
        <v>10</v>
      </c>
      <c r="AB38" s="109" t="s">
        <v>10</v>
      </c>
      <c r="AC38" s="109" t="s">
        <v>10</v>
      </c>
      <c r="AD38" s="109" t="s">
        <v>10</v>
      </c>
      <c r="AE38" s="109" t="s">
        <v>10</v>
      </c>
      <c r="AF38" s="173" t="s">
        <v>116</v>
      </c>
      <c r="AG38" s="47" t="s">
        <v>7</v>
      </c>
      <c r="AH38" s="47" t="s">
        <v>7</v>
      </c>
      <c r="AI38" s="47" t="s">
        <v>7</v>
      </c>
      <c r="AJ38" s="117" t="s">
        <v>7</v>
      </c>
      <c r="AK38" s="3"/>
      <c r="AL38" s="3"/>
      <c r="AM38" s="3"/>
      <c r="AN38" s="3"/>
      <c r="AO38" s="3"/>
    </row>
    <row r="39" spans="1:41" s="3" customFormat="1" x14ac:dyDescent="0.2">
      <c r="B39" s="88">
        <v>7546024</v>
      </c>
      <c r="C39" s="89" t="s">
        <v>85</v>
      </c>
      <c r="D39" s="90" t="s">
        <v>86</v>
      </c>
      <c r="E39" s="91" t="s">
        <v>24</v>
      </c>
      <c r="F39" s="15" t="s">
        <v>116</v>
      </c>
      <c r="G39" s="115" t="s">
        <v>7</v>
      </c>
      <c r="H39" s="115" t="s">
        <v>7</v>
      </c>
      <c r="I39" s="115" t="s">
        <v>7</v>
      </c>
      <c r="J39" s="115" t="s">
        <v>7</v>
      </c>
      <c r="K39" s="115" t="s">
        <v>7</v>
      </c>
      <c r="L39" s="15" t="s">
        <v>116</v>
      </c>
      <c r="M39" s="115" t="s">
        <v>7</v>
      </c>
      <c r="N39" s="115" t="s">
        <v>7</v>
      </c>
      <c r="O39" s="115" t="s">
        <v>7</v>
      </c>
      <c r="P39" s="115" t="s">
        <v>7</v>
      </c>
      <c r="Q39" s="115" t="s">
        <v>7</v>
      </c>
      <c r="R39" s="115" t="s">
        <v>7</v>
      </c>
      <c r="S39" s="15" t="s">
        <v>116</v>
      </c>
      <c r="T39" s="115" t="s">
        <v>7</v>
      </c>
      <c r="U39" s="115" t="s">
        <v>7</v>
      </c>
      <c r="V39" s="115" t="s">
        <v>7</v>
      </c>
      <c r="W39" s="115" t="s">
        <v>7</v>
      </c>
      <c r="X39" s="182" t="s">
        <v>7</v>
      </c>
      <c r="Y39" s="182" t="s">
        <v>7</v>
      </c>
      <c r="Z39" s="195" t="s">
        <v>116</v>
      </c>
      <c r="AA39" s="14" t="s">
        <v>10</v>
      </c>
      <c r="AB39" s="14" t="s">
        <v>10</v>
      </c>
      <c r="AC39" s="14" t="s">
        <v>10</v>
      </c>
      <c r="AD39" s="14" t="s">
        <v>10</v>
      </c>
      <c r="AE39" s="14" t="s">
        <v>10</v>
      </c>
      <c r="AF39" s="14" t="s">
        <v>10</v>
      </c>
      <c r="AG39" s="15" t="s">
        <v>116</v>
      </c>
      <c r="AH39" s="14" t="s">
        <v>10</v>
      </c>
      <c r="AI39" s="14" t="s">
        <v>10</v>
      </c>
      <c r="AJ39" s="113" t="s">
        <v>10</v>
      </c>
    </row>
    <row r="40" spans="1:41" s="3" customFormat="1" x14ac:dyDescent="0.2">
      <c r="B40" s="64" t="s">
        <v>87</v>
      </c>
      <c r="C40" s="65" t="s">
        <v>88</v>
      </c>
      <c r="D40" s="66" t="s">
        <v>89</v>
      </c>
      <c r="E40" s="23" t="s">
        <v>24</v>
      </c>
      <c r="F40" s="15" t="s">
        <v>116</v>
      </c>
      <c r="G40" s="9" t="s">
        <v>10</v>
      </c>
      <c r="H40" s="9" t="s">
        <v>10</v>
      </c>
      <c r="I40" s="9" t="s">
        <v>10</v>
      </c>
      <c r="J40" s="9" t="s">
        <v>10</v>
      </c>
      <c r="K40" s="9" t="s">
        <v>10</v>
      </c>
      <c r="L40" s="57" t="s">
        <v>116</v>
      </c>
      <c r="M40" s="9" t="s">
        <v>10</v>
      </c>
      <c r="N40" s="9" t="s">
        <v>10</v>
      </c>
      <c r="O40" s="9" t="s">
        <v>10</v>
      </c>
      <c r="P40" s="9" t="s">
        <v>10</v>
      </c>
      <c r="Q40" s="146" t="s">
        <v>10</v>
      </c>
      <c r="R40" s="9" t="s">
        <v>10</v>
      </c>
      <c r="S40" s="57" t="s">
        <v>116</v>
      </c>
      <c r="T40" s="47" t="s">
        <v>7</v>
      </c>
      <c r="U40" s="47" t="s">
        <v>7</v>
      </c>
      <c r="V40" s="47" t="s">
        <v>7</v>
      </c>
      <c r="W40" s="140" t="s">
        <v>7</v>
      </c>
      <c r="X40" s="186" t="s">
        <v>7</v>
      </c>
      <c r="Y40" s="185" t="s">
        <v>116</v>
      </c>
      <c r="Z40" s="197" t="s">
        <v>7</v>
      </c>
      <c r="AA40" s="190" t="s">
        <v>7</v>
      </c>
      <c r="AB40" s="104" t="s">
        <v>7</v>
      </c>
      <c r="AC40" s="104" t="s">
        <v>7</v>
      </c>
      <c r="AD40" s="104" t="s">
        <v>7</v>
      </c>
      <c r="AE40" s="47" t="s">
        <v>7</v>
      </c>
      <c r="AF40" s="148" t="s">
        <v>7</v>
      </c>
      <c r="AG40" s="57" t="s">
        <v>116</v>
      </c>
      <c r="AH40" s="9" t="s">
        <v>10</v>
      </c>
      <c r="AI40" s="9" t="s">
        <v>10</v>
      </c>
      <c r="AJ40" s="11" t="s">
        <v>10</v>
      </c>
    </row>
    <row r="41" spans="1:41" x14ac:dyDescent="0.2">
      <c r="A41" s="3"/>
      <c r="B41" s="92">
        <v>7657458</v>
      </c>
      <c r="C41" s="65" t="s">
        <v>90</v>
      </c>
      <c r="D41" s="66" t="s">
        <v>91</v>
      </c>
      <c r="E41" s="23" t="s">
        <v>24</v>
      </c>
      <c r="F41" s="57" t="s">
        <v>116</v>
      </c>
      <c r="G41" s="10" t="s">
        <v>7</v>
      </c>
      <c r="H41" s="10" t="s">
        <v>7</v>
      </c>
      <c r="I41" s="10" t="s">
        <v>7</v>
      </c>
      <c r="J41" s="10" t="s">
        <v>7</v>
      </c>
      <c r="K41" s="10" t="s">
        <v>7</v>
      </c>
      <c r="L41" s="57" t="s">
        <v>116</v>
      </c>
      <c r="M41" s="10" t="s">
        <v>7</v>
      </c>
      <c r="N41" s="108" t="s">
        <v>22</v>
      </c>
      <c r="O41" s="108" t="s">
        <v>22</v>
      </c>
      <c r="P41" s="108" t="s">
        <v>22</v>
      </c>
      <c r="Q41" s="108" t="s">
        <v>22</v>
      </c>
      <c r="R41" s="108" t="s">
        <v>22</v>
      </c>
      <c r="S41" s="57" t="s">
        <v>116</v>
      </c>
      <c r="T41" s="9" t="s">
        <v>10</v>
      </c>
      <c r="U41" s="9" t="s">
        <v>10</v>
      </c>
      <c r="V41" s="9" t="s">
        <v>10</v>
      </c>
      <c r="W41" s="146" t="s">
        <v>10</v>
      </c>
      <c r="X41" s="184" t="s">
        <v>10</v>
      </c>
      <c r="Y41" s="184" t="s">
        <v>10</v>
      </c>
      <c r="Z41" s="185" t="s">
        <v>116</v>
      </c>
      <c r="AA41" s="191" t="s">
        <v>7</v>
      </c>
      <c r="AB41" s="186" t="s">
        <v>7</v>
      </c>
      <c r="AC41" s="186" t="s">
        <v>7</v>
      </c>
      <c r="AD41" s="186" t="s">
        <v>7</v>
      </c>
      <c r="AE41" s="148" t="s">
        <v>7</v>
      </c>
      <c r="AF41" s="47" t="s">
        <v>7</v>
      </c>
      <c r="AG41" s="57" t="s">
        <v>116</v>
      </c>
      <c r="AH41" s="58" t="s">
        <v>9</v>
      </c>
      <c r="AI41" s="58" t="s">
        <v>120</v>
      </c>
      <c r="AJ41" s="174" t="s">
        <v>7</v>
      </c>
      <c r="AK41" s="3"/>
      <c r="AL41" s="3"/>
      <c r="AM41" s="3"/>
      <c r="AN41" s="3"/>
      <c r="AO41" s="3"/>
    </row>
    <row r="42" spans="1:41" x14ac:dyDescent="0.2">
      <c r="A42" s="3"/>
      <c r="B42" s="92">
        <v>7864530</v>
      </c>
      <c r="C42" s="65" t="s">
        <v>92</v>
      </c>
      <c r="D42" s="66" t="s">
        <v>93</v>
      </c>
      <c r="E42" s="23" t="s">
        <v>24</v>
      </c>
      <c r="F42" s="57" t="s">
        <v>116</v>
      </c>
      <c r="G42" s="10" t="s">
        <v>7</v>
      </c>
      <c r="H42" s="10" t="s">
        <v>7</v>
      </c>
      <c r="I42" s="10" t="s">
        <v>7</v>
      </c>
      <c r="J42" s="10" t="s">
        <v>7</v>
      </c>
      <c r="K42" s="10" t="s">
        <v>7</v>
      </c>
      <c r="L42" s="57" t="s">
        <v>116</v>
      </c>
      <c r="M42" s="10" t="s">
        <v>7</v>
      </c>
      <c r="N42" s="108" t="s">
        <v>22</v>
      </c>
      <c r="O42" s="108" t="s">
        <v>22</v>
      </c>
      <c r="P42" s="108" t="s">
        <v>22</v>
      </c>
      <c r="Q42" s="108" t="s">
        <v>22</v>
      </c>
      <c r="R42" s="108" t="s">
        <v>22</v>
      </c>
      <c r="S42" s="57" t="s">
        <v>116</v>
      </c>
      <c r="T42" s="9" t="s">
        <v>10</v>
      </c>
      <c r="U42" s="9" t="s">
        <v>10</v>
      </c>
      <c r="V42" s="9" t="s">
        <v>10</v>
      </c>
      <c r="W42" s="146" t="s">
        <v>10</v>
      </c>
      <c r="X42" s="184" t="s">
        <v>10</v>
      </c>
      <c r="Y42" s="184" t="s">
        <v>10</v>
      </c>
      <c r="Z42" s="185" t="s">
        <v>116</v>
      </c>
      <c r="AA42" s="192" t="s">
        <v>7</v>
      </c>
      <c r="AB42" s="188" t="s">
        <v>7</v>
      </c>
      <c r="AC42" s="187" t="s">
        <v>119</v>
      </c>
      <c r="AD42" s="186" t="s">
        <v>7</v>
      </c>
      <c r="AE42" s="148" t="s">
        <v>7</v>
      </c>
      <c r="AF42" s="47" t="s">
        <v>7</v>
      </c>
      <c r="AG42" s="57" t="s">
        <v>116</v>
      </c>
      <c r="AH42" s="58" t="s">
        <v>9</v>
      </c>
      <c r="AI42" s="58" t="s">
        <v>120</v>
      </c>
      <c r="AJ42" s="174" t="s">
        <v>7</v>
      </c>
      <c r="AK42" s="3"/>
      <c r="AL42" s="3"/>
      <c r="AM42" s="3"/>
      <c r="AN42" s="3"/>
      <c r="AO42" s="3"/>
    </row>
    <row r="43" spans="1:41" x14ac:dyDescent="0.2">
      <c r="A43" s="3"/>
      <c r="B43" s="92">
        <v>7723497</v>
      </c>
      <c r="C43" s="65" t="s">
        <v>94</v>
      </c>
      <c r="D43" s="66" t="s">
        <v>95</v>
      </c>
      <c r="E43" s="23" t="s">
        <v>24</v>
      </c>
      <c r="F43" s="57" t="s">
        <v>116</v>
      </c>
      <c r="G43" s="9" t="s">
        <v>10</v>
      </c>
      <c r="H43" s="9" t="s">
        <v>10</v>
      </c>
      <c r="I43" s="9" t="s">
        <v>10</v>
      </c>
      <c r="J43" s="9" t="s">
        <v>10</v>
      </c>
      <c r="K43" s="9" t="s">
        <v>10</v>
      </c>
      <c r="L43" s="57" t="s">
        <v>116</v>
      </c>
      <c r="M43" s="10" t="s">
        <v>7</v>
      </c>
      <c r="N43" s="9" t="s">
        <v>10</v>
      </c>
      <c r="O43" s="9" t="s">
        <v>10</v>
      </c>
      <c r="P43" s="9" t="s">
        <v>10</v>
      </c>
      <c r="Q43" s="9" t="s">
        <v>10</v>
      </c>
      <c r="R43" s="9" t="s">
        <v>10</v>
      </c>
      <c r="S43" s="57" t="s">
        <v>116</v>
      </c>
      <c r="T43" s="201" t="s">
        <v>9</v>
      </c>
      <c r="U43" s="201" t="s">
        <v>9</v>
      </c>
      <c r="V43" s="201" t="s">
        <v>9</v>
      </c>
      <c r="W43" s="183" t="s">
        <v>7</v>
      </c>
      <c r="X43" s="197" t="s">
        <v>7</v>
      </c>
      <c r="Y43" s="187" t="s">
        <v>119</v>
      </c>
      <c r="Z43" s="185" t="s">
        <v>116</v>
      </c>
      <c r="AA43" s="193" t="s">
        <v>119</v>
      </c>
      <c r="AB43" s="187" t="s">
        <v>119</v>
      </c>
      <c r="AC43" s="187" t="s">
        <v>119</v>
      </c>
      <c r="AD43" s="186" t="s">
        <v>7</v>
      </c>
      <c r="AE43" s="148" t="s">
        <v>7</v>
      </c>
      <c r="AF43" s="47" t="s">
        <v>7</v>
      </c>
      <c r="AG43" s="57" t="s">
        <v>116</v>
      </c>
      <c r="AH43" s="10" t="s">
        <v>7</v>
      </c>
      <c r="AI43" s="10" t="s">
        <v>7</v>
      </c>
      <c r="AJ43" s="117" t="s">
        <v>7</v>
      </c>
      <c r="AK43" s="3"/>
      <c r="AL43" s="3"/>
      <c r="AM43" s="3"/>
      <c r="AN43" s="3"/>
      <c r="AO43" s="3"/>
    </row>
    <row r="44" spans="1:41" x14ac:dyDescent="0.2">
      <c r="A44" s="3"/>
      <c r="B44" s="93">
        <v>7913980</v>
      </c>
      <c r="C44" s="94" t="s">
        <v>96</v>
      </c>
      <c r="D44" s="95" t="s">
        <v>97</v>
      </c>
      <c r="E44" s="38" t="s">
        <v>27</v>
      </c>
      <c r="F44" s="57" t="s">
        <v>116</v>
      </c>
      <c r="G44" s="167" t="s">
        <v>7</v>
      </c>
      <c r="H44" s="167" t="s">
        <v>7</v>
      </c>
      <c r="I44" s="167" t="s">
        <v>7</v>
      </c>
      <c r="J44" s="9" t="s">
        <v>10</v>
      </c>
      <c r="K44" s="9" t="s">
        <v>10</v>
      </c>
      <c r="L44" s="57" t="s">
        <v>116</v>
      </c>
      <c r="M44" s="58" t="s">
        <v>9</v>
      </c>
      <c r="N44" s="58" t="s">
        <v>9</v>
      </c>
      <c r="O44" s="58" t="s">
        <v>9</v>
      </c>
      <c r="P44" s="104" t="s">
        <v>7</v>
      </c>
      <c r="Q44" s="104" t="s">
        <v>7</v>
      </c>
      <c r="R44" s="9" t="s">
        <v>10</v>
      </c>
      <c r="S44" s="57" t="s">
        <v>116</v>
      </c>
      <c r="T44" s="104" t="s">
        <v>7</v>
      </c>
      <c r="U44" s="104" t="s">
        <v>7</v>
      </c>
      <c r="V44" s="104" t="s">
        <v>7</v>
      </c>
      <c r="W44" s="189" t="s">
        <v>7</v>
      </c>
      <c r="X44" s="186" t="s">
        <v>7</v>
      </c>
      <c r="Y44" s="186" t="s">
        <v>7</v>
      </c>
      <c r="Z44" s="185" t="s">
        <v>116</v>
      </c>
      <c r="AA44" s="194" t="s">
        <v>7</v>
      </c>
      <c r="AB44" s="182" t="s">
        <v>7</v>
      </c>
      <c r="AC44" s="187" t="s">
        <v>84</v>
      </c>
      <c r="AD44" s="182" t="s">
        <v>7</v>
      </c>
      <c r="AE44" s="167" t="s">
        <v>7</v>
      </c>
      <c r="AF44" s="167" t="s">
        <v>7</v>
      </c>
      <c r="AG44" s="57" t="s">
        <v>116</v>
      </c>
      <c r="AH44" s="109" t="s">
        <v>10</v>
      </c>
      <c r="AI44" s="109" t="s">
        <v>10</v>
      </c>
      <c r="AJ44" s="175" t="s">
        <v>10</v>
      </c>
      <c r="AK44" s="3"/>
      <c r="AL44" s="3"/>
      <c r="AM44" s="3"/>
      <c r="AN44" s="3"/>
      <c r="AO44" s="3"/>
    </row>
    <row r="45" spans="1:41" ht="15" thickBot="1" x14ac:dyDescent="0.25">
      <c r="A45" s="3"/>
      <c r="B45" s="93">
        <v>7937200</v>
      </c>
      <c r="C45" s="94" t="s">
        <v>98</v>
      </c>
      <c r="D45" s="95" t="s">
        <v>99</v>
      </c>
      <c r="E45" s="38" t="s">
        <v>27</v>
      </c>
      <c r="F45" s="59" t="s">
        <v>116</v>
      </c>
      <c r="G45" s="104" t="s">
        <v>7</v>
      </c>
      <c r="H45" s="104" t="s">
        <v>7</v>
      </c>
      <c r="I45" s="104" t="s">
        <v>7</v>
      </c>
      <c r="J45" s="104" t="s">
        <v>7</v>
      </c>
      <c r="K45" s="104" t="s">
        <v>7</v>
      </c>
      <c r="L45" s="56" t="s">
        <v>116</v>
      </c>
      <c r="M45" s="104" t="s">
        <v>7</v>
      </c>
      <c r="N45" s="104" t="s">
        <v>7</v>
      </c>
      <c r="O45" s="104" t="s">
        <v>7</v>
      </c>
      <c r="P45" s="104" t="s">
        <v>7</v>
      </c>
      <c r="Q45" s="104" t="s">
        <v>7</v>
      </c>
      <c r="R45" s="104" t="s">
        <v>7</v>
      </c>
      <c r="S45" s="56" t="s">
        <v>116</v>
      </c>
      <c r="T45" s="109" t="s">
        <v>10</v>
      </c>
      <c r="U45" s="111" t="s">
        <v>10</v>
      </c>
      <c r="V45" s="111" t="s">
        <v>10</v>
      </c>
      <c r="W45" s="111" t="s">
        <v>10</v>
      </c>
      <c r="X45" s="196" t="s">
        <v>10</v>
      </c>
      <c r="Y45" s="196" t="s">
        <v>10</v>
      </c>
      <c r="Z45" s="155" t="s">
        <v>116</v>
      </c>
      <c r="AA45" s="111" t="s">
        <v>10</v>
      </c>
      <c r="AB45" s="111" t="s">
        <v>10</v>
      </c>
      <c r="AC45" s="111" t="s">
        <v>10</v>
      </c>
      <c r="AD45" s="111" t="s">
        <v>10</v>
      </c>
      <c r="AE45" s="111" t="s">
        <v>10</v>
      </c>
      <c r="AF45" s="111" t="s">
        <v>10</v>
      </c>
      <c r="AG45" s="59" t="s">
        <v>116</v>
      </c>
      <c r="AH45" s="121" t="s">
        <v>22</v>
      </c>
      <c r="AI45" s="121" t="s">
        <v>22</v>
      </c>
      <c r="AJ45" s="122" t="s">
        <v>22</v>
      </c>
      <c r="AK45" s="3"/>
      <c r="AL45" s="3"/>
      <c r="AM45" s="3"/>
      <c r="AN45" s="3"/>
      <c r="AO45" s="3"/>
    </row>
    <row r="46" spans="1:41" x14ac:dyDescent="0.2">
      <c r="A46" s="3"/>
      <c r="B46" s="134">
        <v>6350655</v>
      </c>
      <c r="C46" s="135" t="s">
        <v>100</v>
      </c>
      <c r="D46" s="136" t="s">
        <v>101</v>
      </c>
      <c r="E46" s="136" t="s">
        <v>24</v>
      </c>
      <c r="F46" s="14" t="s">
        <v>10</v>
      </c>
      <c r="G46" s="54" t="s">
        <v>116</v>
      </c>
      <c r="H46" s="120" t="s">
        <v>7</v>
      </c>
      <c r="I46" s="120" t="s">
        <v>7</v>
      </c>
      <c r="J46" s="120" t="s">
        <v>7</v>
      </c>
      <c r="K46" s="120" t="s">
        <v>7</v>
      </c>
      <c r="L46" s="120" t="s">
        <v>7</v>
      </c>
      <c r="M46" s="54" t="s">
        <v>116</v>
      </c>
      <c r="N46" s="120" t="s">
        <v>7</v>
      </c>
      <c r="O46" s="120" t="s">
        <v>7</v>
      </c>
      <c r="P46" s="120" t="s">
        <v>7</v>
      </c>
      <c r="Q46" s="187" t="s">
        <v>119</v>
      </c>
      <c r="R46" s="120" t="s">
        <v>7</v>
      </c>
      <c r="S46" s="120" t="s">
        <v>7</v>
      </c>
      <c r="T46" s="54" t="s">
        <v>116</v>
      </c>
      <c r="U46" s="176" t="s">
        <v>10</v>
      </c>
      <c r="V46" s="176" t="s">
        <v>10</v>
      </c>
      <c r="W46" s="176" t="s">
        <v>10</v>
      </c>
      <c r="X46" s="176" t="s">
        <v>10</v>
      </c>
      <c r="Y46" s="176" t="s">
        <v>10</v>
      </c>
      <c r="Z46" s="176" t="s">
        <v>10</v>
      </c>
      <c r="AA46" s="15" t="s">
        <v>116</v>
      </c>
      <c r="AB46" s="106" t="s">
        <v>22</v>
      </c>
      <c r="AC46" s="106" t="s">
        <v>22</v>
      </c>
      <c r="AD46" s="106" t="s">
        <v>22</v>
      </c>
      <c r="AE46" s="106" t="s">
        <v>22</v>
      </c>
      <c r="AF46" s="106" t="s">
        <v>22</v>
      </c>
      <c r="AG46" s="106" t="s">
        <v>22</v>
      </c>
      <c r="AH46" s="54" t="s">
        <v>116</v>
      </c>
      <c r="AI46" s="120" t="s">
        <v>7</v>
      </c>
      <c r="AJ46" s="177" t="s">
        <v>7</v>
      </c>
      <c r="AK46" s="3"/>
      <c r="AL46" s="3"/>
      <c r="AM46" s="3"/>
      <c r="AN46" s="3"/>
      <c r="AO46" s="3"/>
    </row>
    <row r="47" spans="1:41" s="3" customFormat="1" x14ac:dyDescent="0.2">
      <c r="B47" s="39"/>
      <c r="C47" s="40"/>
      <c r="D47" s="67"/>
      <c r="E47" s="8"/>
      <c r="F47" s="178"/>
      <c r="G47" s="15"/>
      <c r="H47" s="160"/>
      <c r="I47" s="160"/>
      <c r="J47" s="160"/>
      <c r="K47" s="160"/>
      <c r="L47" s="160"/>
      <c r="M47" s="15"/>
      <c r="N47" s="160"/>
      <c r="O47" s="160"/>
      <c r="P47" s="160"/>
      <c r="Q47" s="160"/>
      <c r="R47" s="160"/>
      <c r="S47" s="147"/>
      <c r="T47" s="15"/>
      <c r="U47" s="160"/>
      <c r="V47" s="160"/>
      <c r="W47" s="160"/>
      <c r="X47" s="160"/>
      <c r="Y47" s="160"/>
      <c r="Z47" s="147"/>
      <c r="AA47" s="15"/>
      <c r="AB47" s="160"/>
      <c r="AC47" s="160"/>
      <c r="AD47" s="160"/>
      <c r="AE47" s="160"/>
      <c r="AF47" s="160"/>
      <c r="AG47" s="160"/>
      <c r="AH47" s="15"/>
      <c r="AI47" s="160"/>
      <c r="AJ47" s="160"/>
    </row>
    <row r="48" spans="1:41" x14ac:dyDescent="0.2">
      <c r="A48" s="3"/>
      <c r="B48" s="39">
        <v>7863826</v>
      </c>
      <c r="C48" s="40" t="s">
        <v>104</v>
      </c>
      <c r="D48" s="67" t="s">
        <v>105</v>
      </c>
      <c r="E48" s="8" t="s">
        <v>24</v>
      </c>
      <c r="F48" s="46" t="s">
        <v>10</v>
      </c>
      <c r="G48" s="57" t="s">
        <v>116</v>
      </c>
      <c r="H48" s="108" t="s">
        <v>22</v>
      </c>
      <c r="I48" s="108" t="s">
        <v>22</v>
      </c>
      <c r="J48" s="108" t="s">
        <v>22</v>
      </c>
      <c r="K48" s="108" t="s">
        <v>22</v>
      </c>
      <c r="L48" s="108" t="s">
        <v>22</v>
      </c>
      <c r="M48" s="57" t="s">
        <v>116</v>
      </c>
      <c r="N48" s="108" t="s">
        <v>22</v>
      </c>
      <c r="O48" s="108" t="s">
        <v>22</v>
      </c>
      <c r="P48" s="108" t="s">
        <v>22</v>
      </c>
      <c r="Q48" s="108" t="s">
        <v>22</v>
      </c>
      <c r="R48" s="108" t="s">
        <v>22</v>
      </c>
      <c r="S48" s="108" t="s">
        <v>22</v>
      </c>
      <c r="T48" s="57" t="s">
        <v>116</v>
      </c>
      <c r="U48" s="9" t="s">
        <v>10</v>
      </c>
      <c r="V48" s="9" t="s">
        <v>10</v>
      </c>
      <c r="W48" s="9" t="s">
        <v>10</v>
      </c>
      <c r="X48" s="9" t="s">
        <v>10</v>
      </c>
      <c r="Y48" s="9" t="s">
        <v>10</v>
      </c>
      <c r="Z48" s="9" t="s">
        <v>10</v>
      </c>
      <c r="AA48" s="57" t="s">
        <v>116</v>
      </c>
      <c r="AB48" s="9" t="s">
        <v>10</v>
      </c>
      <c r="AC48" s="9" t="s">
        <v>10</v>
      </c>
      <c r="AD48" s="9" t="s">
        <v>10</v>
      </c>
      <c r="AE48" s="9" t="s">
        <v>10</v>
      </c>
      <c r="AF48" s="9" t="s">
        <v>10</v>
      </c>
      <c r="AG48" s="9" t="s">
        <v>10</v>
      </c>
      <c r="AH48" s="57" t="s">
        <v>116</v>
      </c>
      <c r="AI48" s="9" t="s">
        <v>10</v>
      </c>
      <c r="AJ48" s="11" t="s">
        <v>10</v>
      </c>
      <c r="AK48" s="3"/>
      <c r="AL48" s="3"/>
      <c r="AM48" s="3"/>
      <c r="AN48" s="3"/>
      <c r="AO48" s="3"/>
    </row>
    <row r="49" spans="1:41" x14ac:dyDescent="0.2">
      <c r="A49" s="3"/>
      <c r="B49" s="39">
        <v>7863822</v>
      </c>
      <c r="C49" s="40" t="s">
        <v>106</v>
      </c>
      <c r="D49" s="67" t="s">
        <v>107</v>
      </c>
      <c r="E49" s="8" t="s">
        <v>24</v>
      </c>
      <c r="F49" s="47" t="s">
        <v>7</v>
      </c>
      <c r="G49" s="57" t="s">
        <v>116</v>
      </c>
      <c r="H49" s="47" t="s">
        <v>7</v>
      </c>
      <c r="I49" s="47" t="s">
        <v>7</v>
      </c>
      <c r="J49" s="47" t="s">
        <v>7</v>
      </c>
      <c r="K49" s="47" t="s">
        <v>7</v>
      </c>
      <c r="L49" s="47" t="s">
        <v>7</v>
      </c>
      <c r="M49" s="57" t="s">
        <v>116</v>
      </c>
      <c r="N49" s="47" t="s">
        <v>7</v>
      </c>
      <c r="O49" s="47" t="s">
        <v>7</v>
      </c>
      <c r="P49" s="47" t="s">
        <v>7</v>
      </c>
      <c r="Q49" s="47" t="s">
        <v>7</v>
      </c>
      <c r="R49" s="47" t="s">
        <v>7</v>
      </c>
      <c r="S49" s="47" t="s">
        <v>7</v>
      </c>
      <c r="T49" s="57" t="s">
        <v>116</v>
      </c>
      <c r="U49" s="9" t="s">
        <v>10</v>
      </c>
      <c r="V49" s="9" t="s">
        <v>10</v>
      </c>
      <c r="W49" s="9" t="s">
        <v>10</v>
      </c>
      <c r="X49" s="9" t="s">
        <v>10</v>
      </c>
      <c r="Y49" s="9" t="s">
        <v>10</v>
      </c>
      <c r="Z49" s="9" t="s">
        <v>10</v>
      </c>
      <c r="AA49" s="57" t="s">
        <v>116</v>
      </c>
      <c r="AB49" s="9" t="s">
        <v>10</v>
      </c>
      <c r="AC49" s="9" t="s">
        <v>10</v>
      </c>
      <c r="AD49" s="9" t="s">
        <v>10</v>
      </c>
      <c r="AE49" s="9" t="s">
        <v>10</v>
      </c>
      <c r="AF49" s="9" t="s">
        <v>10</v>
      </c>
      <c r="AG49" s="9" t="s">
        <v>10</v>
      </c>
      <c r="AH49" s="57" t="s">
        <v>116</v>
      </c>
      <c r="AI49" s="47" t="s">
        <v>7</v>
      </c>
      <c r="AJ49" s="49" t="s">
        <v>7</v>
      </c>
      <c r="AK49" s="3"/>
      <c r="AL49" s="3"/>
      <c r="AM49" s="3"/>
      <c r="AN49" s="3"/>
      <c r="AO49" s="3"/>
    </row>
    <row r="50" spans="1:41" x14ac:dyDescent="0.2">
      <c r="A50" s="3"/>
      <c r="B50" s="39">
        <v>7857835</v>
      </c>
      <c r="C50" s="40" t="s">
        <v>108</v>
      </c>
      <c r="D50" s="67" t="s">
        <v>109</v>
      </c>
      <c r="E50" s="8" t="s">
        <v>27</v>
      </c>
      <c r="F50" s="46" t="s">
        <v>10</v>
      </c>
      <c r="G50" s="57" t="s">
        <v>116</v>
      </c>
      <c r="H50" s="9" t="s">
        <v>10</v>
      </c>
      <c r="I50" s="9" t="s">
        <v>10</v>
      </c>
      <c r="J50" s="9" t="s">
        <v>10</v>
      </c>
      <c r="K50" s="9" t="s">
        <v>10</v>
      </c>
      <c r="L50" s="9" t="s">
        <v>10</v>
      </c>
      <c r="M50" s="57" t="s">
        <v>116</v>
      </c>
      <c r="N50" s="9" t="s">
        <v>10</v>
      </c>
      <c r="O50" s="9" t="s">
        <v>10</v>
      </c>
      <c r="P50" s="9" t="s">
        <v>10</v>
      </c>
      <c r="Q50" s="9" t="s">
        <v>10</v>
      </c>
      <c r="R50" s="9" t="s">
        <v>10</v>
      </c>
      <c r="S50" s="9" t="s">
        <v>10</v>
      </c>
      <c r="T50" s="57" t="s">
        <v>116</v>
      </c>
      <c r="U50" s="108" t="s">
        <v>22</v>
      </c>
      <c r="V50" s="108" t="s">
        <v>22</v>
      </c>
      <c r="W50" s="108" t="s">
        <v>22</v>
      </c>
      <c r="X50" s="108" t="s">
        <v>22</v>
      </c>
      <c r="Y50" s="108" t="s">
        <v>22</v>
      </c>
      <c r="Z50" s="108" t="s">
        <v>22</v>
      </c>
      <c r="AA50" s="57" t="s">
        <v>116</v>
      </c>
      <c r="AB50" s="9" t="s">
        <v>10</v>
      </c>
      <c r="AC50" s="9" t="s">
        <v>10</v>
      </c>
      <c r="AD50" s="9" t="s">
        <v>10</v>
      </c>
      <c r="AE50" s="9" t="s">
        <v>10</v>
      </c>
      <c r="AF50" s="9" t="s">
        <v>10</v>
      </c>
      <c r="AG50" s="9" t="s">
        <v>10</v>
      </c>
      <c r="AH50" s="57" t="s">
        <v>116</v>
      </c>
      <c r="AI50" s="9" t="s">
        <v>10</v>
      </c>
      <c r="AJ50" s="11" t="s">
        <v>10</v>
      </c>
      <c r="AK50" s="3"/>
      <c r="AL50" s="3"/>
      <c r="AM50" s="3"/>
      <c r="AN50" s="3"/>
      <c r="AO50" s="3"/>
    </row>
    <row r="51" spans="1:41" x14ac:dyDescent="0.2">
      <c r="A51" s="3"/>
      <c r="B51" s="97">
        <v>7915365</v>
      </c>
      <c r="C51" s="98" t="s">
        <v>110</v>
      </c>
      <c r="D51" s="99" t="s">
        <v>111</v>
      </c>
      <c r="E51" s="96" t="s">
        <v>27</v>
      </c>
      <c r="F51" s="52" t="s">
        <v>10</v>
      </c>
      <c r="G51" s="57" t="s">
        <v>116</v>
      </c>
      <c r="H51" s="52" t="s">
        <v>10</v>
      </c>
      <c r="I51" s="52" t="s">
        <v>10</v>
      </c>
      <c r="J51" s="52" t="s">
        <v>10</v>
      </c>
      <c r="K51" s="52" t="s">
        <v>10</v>
      </c>
      <c r="L51" s="52" t="s">
        <v>10</v>
      </c>
      <c r="M51" s="57" t="s">
        <v>116</v>
      </c>
      <c r="N51" s="52" t="s">
        <v>10</v>
      </c>
      <c r="O51" s="52" t="s">
        <v>10</v>
      </c>
      <c r="P51" s="52" t="s">
        <v>10</v>
      </c>
      <c r="Q51" s="52" t="s">
        <v>10</v>
      </c>
      <c r="R51" s="52" t="s">
        <v>10</v>
      </c>
      <c r="S51" s="52" t="s">
        <v>10</v>
      </c>
      <c r="T51" s="57" t="s">
        <v>116</v>
      </c>
      <c r="U51" s="108" t="s">
        <v>22</v>
      </c>
      <c r="V51" s="108" t="s">
        <v>22</v>
      </c>
      <c r="W51" s="108" t="s">
        <v>22</v>
      </c>
      <c r="X51" s="108" t="s">
        <v>22</v>
      </c>
      <c r="Y51" s="108" t="s">
        <v>22</v>
      </c>
      <c r="Z51" s="108" t="s">
        <v>22</v>
      </c>
      <c r="AA51" s="57" t="s">
        <v>116</v>
      </c>
      <c r="AB51" s="108" t="s">
        <v>22</v>
      </c>
      <c r="AC51" s="108" t="s">
        <v>22</v>
      </c>
      <c r="AD51" s="108" t="s">
        <v>22</v>
      </c>
      <c r="AE51" s="108" t="s">
        <v>22</v>
      </c>
      <c r="AF51" s="108" t="s">
        <v>22</v>
      </c>
      <c r="AG51" s="108" t="s">
        <v>22</v>
      </c>
      <c r="AH51" s="57" t="s">
        <v>116</v>
      </c>
      <c r="AI51" s="52" t="s">
        <v>10</v>
      </c>
      <c r="AJ51" s="53" t="s">
        <v>10</v>
      </c>
      <c r="AK51" s="3"/>
      <c r="AL51" s="3"/>
      <c r="AM51" s="3"/>
      <c r="AN51" s="3"/>
      <c r="AO51" s="3"/>
    </row>
    <row r="52" spans="1:41" x14ac:dyDescent="0.2">
      <c r="A52" s="3"/>
      <c r="B52" s="100">
        <v>7929011</v>
      </c>
      <c r="C52" s="101" t="s">
        <v>112</v>
      </c>
      <c r="D52" s="102" t="s">
        <v>113</v>
      </c>
      <c r="E52" s="103" t="s">
        <v>27</v>
      </c>
      <c r="F52" s="104" t="s">
        <v>7</v>
      </c>
      <c r="G52" s="56" t="s">
        <v>116</v>
      </c>
      <c r="H52" s="104" t="s">
        <v>7</v>
      </c>
      <c r="I52" s="104" t="s">
        <v>7</v>
      </c>
      <c r="J52" s="104" t="s">
        <v>7</v>
      </c>
      <c r="K52" s="104" t="s">
        <v>7</v>
      </c>
      <c r="L52" s="104" t="s">
        <v>7</v>
      </c>
      <c r="M52" s="56" t="s">
        <v>116</v>
      </c>
      <c r="N52" s="104" t="s">
        <v>7</v>
      </c>
      <c r="O52" s="104" t="s">
        <v>7</v>
      </c>
      <c r="P52" s="104" t="s">
        <v>7</v>
      </c>
      <c r="Q52" s="104" t="s">
        <v>7</v>
      </c>
      <c r="R52" s="104" t="s">
        <v>7</v>
      </c>
      <c r="S52" s="104" t="s">
        <v>7</v>
      </c>
      <c r="T52" s="57" t="s">
        <v>116</v>
      </c>
      <c r="U52" s="52" t="s">
        <v>10</v>
      </c>
      <c r="V52" s="52" t="s">
        <v>10</v>
      </c>
      <c r="W52" s="52" t="s">
        <v>10</v>
      </c>
      <c r="X52" s="52" t="s">
        <v>10</v>
      </c>
      <c r="Y52" s="52" t="s">
        <v>10</v>
      </c>
      <c r="Z52" s="52" t="s">
        <v>10</v>
      </c>
      <c r="AA52" s="57" t="s">
        <v>116</v>
      </c>
      <c r="AB52" s="52" t="s">
        <v>10</v>
      </c>
      <c r="AC52" s="52" t="s">
        <v>10</v>
      </c>
      <c r="AD52" s="52" t="s">
        <v>10</v>
      </c>
      <c r="AE52" s="52" t="s">
        <v>10</v>
      </c>
      <c r="AF52" s="52" t="s">
        <v>10</v>
      </c>
      <c r="AG52" s="52" t="s">
        <v>10</v>
      </c>
      <c r="AH52" s="57" t="s">
        <v>116</v>
      </c>
      <c r="AI52" s="104" t="s">
        <v>7</v>
      </c>
      <c r="AJ52" s="50" t="s">
        <v>7</v>
      </c>
      <c r="AK52" s="3"/>
      <c r="AL52" s="3"/>
      <c r="AM52" s="3"/>
      <c r="AN52" s="3"/>
      <c r="AO52" s="3"/>
    </row>
    <row r="53" spans="1:41" s="3" customFormat="1" ht="15" thickBot="1" x14ac:dyDescent="0.25">
      <c r="B53" s="138">
        <v>7831441</v>
      </c>
      <c r="C53" s="137" t="s">
        <v>114</v>
      </c>
      <c r="D53" s="138" t="s">
        <v>115</v>
      </c>
      <c r="E53" s="139" t="s">
        <v>27</v>
      </c>
      <c r="F53" s="110" t="s">
        <v>22</v>
      </c>
      <c r="G53" s="59" t="s">
        <v>116</v>
      </c>
      <c r="H53" s="51" t="s">
        <v>7</v>
      </c>
      <c r="I53" s="51" t="s">
        <v>7</v>
      </c>
      <c r="J53" s="51" t="s">
        <v>7</v>
      </c>
      <c r="K53" s="51" t="s">
        <v>7</v>
      </c>
      <c r="L53" s="51" t="s">
        <v>7</v>
      </c>
      <c r="M53" s="59" t="s">
        <v>116</v>
      </c>
      <c r="N53" s="51" t="s">
        <v>7</v>
      </c>
      <c r="O53" s="51" t="s">
        <v>7</v>
      </c>
      <c r="P53" s="51" t="s">
        <v>7</v>
      </c>
      <c r="Q53" s="179" t="s">
        <v>7</v>
      </c>
      <c r="R53" s="51" t="s">
        <v>7</v>
      </c>
      <c r="S53" s="51" t="s">
        <v>7</v>
      </c>
      <c r="T53" s="180" t="s">
        <v>116</v>
      </c>
      <c r="U53" s="111" t="s">
        <v>10</v>
      </c>
      <c r="V53" s="111" t="s">
        <v>10</v>
      </c>
      <c r="W53" s="111" t="s">
        <v>10</v>
      </c>
      <c r="X53" s="111" t="s">
        <v>10</v>
      </c>
      <c r="Y53" s="111" t="s">
        <v>10</v>
      </c>
      <c r="Z53" s="111" t="s">
        <v>10</v>
      </c>
      <c r="AA53" s="180" t="s">
        <v>116</v>
      </c>
      <c r="AB53" s="111" t="s">
        <v>10</v>
      </c>
      <c r="AC53" s="111" t="s">
        <v>10</v>
      </c>
      <c r="AD53" s="111" t="s">
        <v>10</v>
      </c>
      <c r="AE53" s="111" t="s">
        <v>10</v>
      </c>
      <c r="AF53" s="111" t="s">
        <v>10</v>
      </c>
      <c r="AG53" s="111" t="s">
        <v>10</v>
      </c>
      <c r="AH53" s="181" t="s">
        <v>116</v>
      </c>
      <c r="AI53" s="110" t="s">
        <v>22</v>
      </c>
      <c r="AJ53" s="112" t="s">
        <v>22</v>
      </c>
    </row>
    <row r="54" spans="1:41" s="3" customFormat="1" x14ac:dyDescent="0.2">
      <c r="B54" s="202">
        <v>5780782</v>
      </c>
      <c r="C54" s="203" t="s">
        <v>121</v>
      </c>
      <c r="D54" s="204" t="s">
        <v>122</v>
      </c>
      <c r="E54" s="205" t="s">
        <v>123</v>
      </c>
      <c r="F54" s="206" t="s">
        <v>116</v>
      </c>
      <c r="G54" s="207" t="s">
        <v>22</v>
      </c>
      <c r="H54" s="207" t="s">
        <v>22</v>
      </c>
      <c r="I54" s="208" t="s">
        <v>129</v>
      </c>
      <c r="J54" s="207" t="s">
        <v>22</v>
      </c>
      <c r="K54" s="207" t="s">
        <v>22</v>
      </c>
      <c r="L54" s="209" t="s">
        <v>124</v>
      </c>
      <c r="M54" s="206" t="s">
        <v>116</v>
      </c>
      <c r="N54" s="201" t="s">
        <v>9</v>
      </c>
      <c r="O54" s="201" t="s">
        <v>9</v>
      </c>
      <c r="P54" s="210" t="s">
        <v>9</v>
      </c>
      <c r="Q54" s="211" t="s">
        <v>125</v>
      </c>
      <c r="R54" s="212" t="s">
        <v>126</v>
      </c>
      <c r="S54" s="212" t="s">
        <v>126</v>
      </c>
      <c r="T54" s="212" t="s">
        <v>126</v>
      </c>
      <c r="U54" s="206" t="s">
        <v>116</v>
      </c>
      <c r="V54" s="213" t="s">
        <v>22</v>
      </c>
      <c r="W54" s="207" t="s">
        <v>22</v>
      </c>
      <c r="X54" s="207" t="s">
        <v>22</v>
      </c>
      <c r="Y54" s="214" t="s">
        <v>7</v>
      </c>
      <c r="Z54" s="207" t="s">
        <v>22</v>
      </c>
      <c r="AA54" s="206" t="s">
        <v>116</v>
      </c>
      <c r="AB54" s="214" t="s">
        <v>7</v>
      </c>
      <c r="AC54" s="207" t="s">
        <v>22</v>
      </c>
      <c r="AD54" s="207" t="s">
        <v>22</v>
      </c>
      <c r="AE54" s="207" t="s">
        <v>22</v>
      </c>
      <c r="AF54" s="207" t="s">
        <v>22</v>
      </c>
      <c r="AG54" s="207" t="s">
        <v>22</v>
      </c>
      <c r="AH54" s="206" t="s">
        <v>116</v>
      </c>
      <c r="AI54" s="207" t="s">
        <v>22</v>
      </c>
      <c r="AJ54" s="215" t="s">
        <v>22</v>
      </c>
    </row>
    <row r="55" spans="1:41" s="3" customFormat="1" ht="15" thickBot="1" x14ac:dyDescent="0.25">
      <c r="B55" s="216">
        <v>7193333</v>
      </c>
      <c r="C55" s="217" t="s">
        <v>127</v>
      </c>
      <c r="D55" s="218" t="s">
        <v>128</v>
      </c>
      <c r="E55" s="218" t="s">
        <v>123</v>
      </c>
      <c r="F55" s="219" t="s">
        <v>22</v>
      </c>
      <c r="G55" s="220" t="s">
        <v>116</v>
      </c>
      <c r="H55" s="219" t="s">
        <v>22</v>
      </c>
      <c r="I55" s="219" t="s">
        <v>22</v>
      </c>
      <c r="J55" s="219" t="s">
        <v>22</v>
      </c>
      <c r="K55" s="219" t="s">
        <v>22</v>
      </c>
      <c r="L55" s="219" t="s">
        <v>22</v>
      </c>
      <c r="M55" s="219" t="s">
        <v>22</v>
      </c>
      <c r="N55" s="220" t="s">
        <v>116</v>
      </c>
      <c r="O55" s="219" t="s">
        <v>22</v>
      </c>
      <c r="P55" s="219" t="s">
        <v>22</v>
      </c>
      <c r="Q55" s="219" t="s">
        <v>22</v>
      </c>
      <c r="R55" s="219" t="s">
        <v>22</v>
      </c>
      <c r="S55" s="221" t="s">
        <v>22</v>
      </c>
      <c r="T55" s="219" t="s">
        <v>22</v>
      </c>
      <c r="U55" s="219" t="s">
        <v>22</v>
      </c>
      <c r="V55" s="222" t="s">
        <v>116</v>
      </c>
      <c r="W55" s="211" t="s">
        <v>125</v>
      </c>
      <c r="X55" s="219" t="s">
        <v>22</v>
      </c>
      <c r="Y55" s="219" t="s">
        <v>22</v>
      </c>
      <c r="Z55" s="219" t="s">
        <v>22</v>
      </c>
      <c r="AA55" s="219" t="s">
        <v>22</v>
      </c>
      <c r="AB55" s="219" t="s">
        <v>22</v>
      </c>
      <c r="AC55" s="219" t="s">
        <v>22</v>
      </c>
      <c r="AD55" s="220" t="s">
        <v>116</v>
      </c>
      <c r="AE55" s="219" t="s">
        <v>22</v>
      </c>
      <c r="AF55" s="219" t="s">
        <v>22</v>
      </c>
      <c r="AG55" s="219" t="s">
        <v>22</v>
      </c>
      <c r="AH55" s="219" t="s">
        <v>22</v>
      </c>
      <c r="AI55" s="219" t="s">
        <v>22</v>
      </c>
      <c r="AJ55" s="223" t="s">
        <v>116</v>
      </c>
    </row>
    <row r="56" spans="1:41" s="3" customFormat="1" x14ac:dyDescent="0.2">
      <c r="B56" s="41"/>
      <c r="C56" s="42"/>
      <c r="D56" s="43"/>
      <c r="E56" s="43"/>
      <c r="F56" s="44"/>
      <c r="G56" s="6"/>
    </row>
    <row r="57" spans="1:41" x14ac:dyDescent="0.2">
      <c r="A57" s="3"/>
      <c r="B57" s="3"/>
      <c r="C57" s="3"/>
      <c r="D57" s="3"/>
      <c r="E57" s="3"/>
      <c r="F57" s="2">
        <v>46235</v>
      </c>
      <c r="G57" s="2">
        <v>46236</v>
      </c>
      <c r="H57" s="2">
        <v>46237</v>
      </c>
      <c r="I57" s="2">
        <v>46238</v>
      </c>
      <c r="J57" s="2">
        <v>46239</v>
      </c>
      <c r="K57" s="2">
        <v>46240</v>
      </c>
      <c r="L57" s="2">
        <v>46241</v>
      </c>
      <c r="M57" s="2">
        <v>46242</v>
      </c>
      <c r="N57" s="2">
        <v>46243</v>
      </c>
      <c r="O57" s="2">
        <v>46244</v>
      </c>
      <c r="P57" s="2">
        <v>46245</v>
      </c>
      <c r="Q57" s="2">
        <v>46246</v>
      </c>
      <c r="R57" s="2">
        <v>46247</v>
      </c>
      <c r="S57" s="2">
        <v>46248</v>
      </c>
      <c r="T57" s="2">
        <v>46249</v>
      </c>
      <c r="U57" s="2">
        <v>46250</v>
      </c>
      <c r="V57" s="2">
        <v>46251</v>
      </c>
      <c r="W57" s="2">
        <v>46252</v>
      </c>
      <c r="X57" s="2">
        <v>46253</v>
      </c>
      <c r="Y57" s="2">
        <v>46254</v>
      </c>
      <c r="Z57" s="2">
        <v>46255</v>
      </c>
      <c r="AA57" s="2">
        <v>46256</v>
      </c>
      <c r="AB57" s="2">
        <v>46257</v>
      </c>
      <c r="AC57" s="2">
        <v>46258</v>
      </c>
      <c r="AD57" s="2">
        <v>46259</v>
      </c>
      <c r="AE57" s="2">
        <v>46260</v>
      </c>
      <c r="AF57" s="2">
        <v>46261</v>
      </c>
      <c r="AG57" s="2">
        <v>46262</v>
      </c>
      <c r="AH57" s="2">
        <v>46263</v>
      </c>
      <c r="AI57" s="2">
        <v>46264</v>
      </c>
      <c r="AJ57" s="2">
        <v>46265</v>
      </c>
      <c r="AK57" s="3"/>
      <c r="AL57" s="3"/>
      <c r="AM57" s="3"/>
      <c r="AN57" s="3"/>
      <c r="AO57" s="3"/>
    </row>
    <row r="58" spans="1:41" x14ac:dyDescent="0.2">
      <c r="A58" s="3"/>
      <c r="B58" s="353" t="s">
        <v>7</v>
      </c>
      <c r="C58" s="354"/>
      <c r="D58" s="354"/>
      <c r="E58" s="355"/>
      <c r="F58" s="337">
        <f t="shared" ref="F58:Q58" si="0">COUNTIFS(F4:F53,"A100")</f>
        <v>18</v>
      </c>
      <c r="G58" s="337">
        <f t="shared" si="0"/>
        <v>20</v>
      </c>
      <c r="H58" s="337">
        <f t="shared" si="0"/>
        <v>22</v>
      </c>
      <c r="I58" s="337">
        <f t="shared" si="0"/>
        <v>21</v>
      </c>
      <c r="J58" s="337">
        <f t="shared" si="0"/>
        <v>20</v>
      </c>
      <c r="K58" s="337">
        <f t="shared" si="0"/>
        <v>20</v>
      </c>
      <c r="L58" s="337">
        <f t="shared" si="0"/>
        <v>19</v>
      </c>
      <c r="M58" s="337">
        <f t="shared" si="0"/>
        <v>19</v>
      </c>
      <c r="N58" s="337">
        <f t="shared" si="0"/>
        <v>21</v>
      </c>
      <c r="O58" s="337">
        <f t="shared" si="0"/>
        <v>20</v>
      </c>
      <c r="P58" s="337">
        <f t="shared" si="0"/>
        <v>19</v>
      </c>
      <c r="Q58" s="337">
        <f t="shared" si="0"/>
        <v>18</v>
      </c>
      <c r="R58" s="337" t="s">
        <v>116</v>
      </c>
      <c r="S58" s="337">
        <f>COUNTIFS(S4:S53,"A100")</f>
        <v>19</v>
      </c>
      <c r="T58" s="337">
        <f>COUNTIFS(T4:T53,"A100")</f>
        <v>20</v>
      </c>
      <c r="U58" s="337">
        <f>COUNTIFS(U4:U53,"A100")</f>
        <v>20</v>
      </c>
      <c r="V58" s="337">
        <f>COUNTIFS(V4:V53,"A100")</f>
        <v>19</v>
      </c>
      <c r="W58" s="337">
        <f>COUNTIFS(W4:W53,"A100")</f>
        <v>18</v>
      </c>
      <c r="X58" s="337">
        <f>COUNTIFS(H4:H53,"A100")</f>
        <v>22</v>
      </c>
      <c r="Y58" s="337">
        <f>COUNTIFS(Y4:Y53,"A100")</f>
        <v>18</v>
      </c>
      <c r="Z58" s="337">
        <f>COUNTIFS(Z4:Z53,"A100")</f>
        <v>20</v>
      </c>
      <c r="AA58" s="337">
        <f>COUNTIFS(AA4:AA53,"A100")</f>
        <v>20</v>
      </c>
      <c r="AB58" s="337">
        <f>COUNTIFS(AH4:AH53,"A100")</f>
        <v>18</v>
      </c>
      <c r="AC58" s="337">
        <f t="shared" ref="AC58:AI58" si="1">COUNTIFS(AC4:AC53,"A100")</f>
        <v>18</v>
      </c>
      <c r="AD58" s="337">
        <f t="shared" si="1"/>
        <v>19</v>
      </c>
      <c r="AE58" s="337">
        <f t="shared" si="1"/>
        <v>18</v>
      </c>
      <c r="AF58" s="337">
        <f t="shared" si="1"/>
        <v>20</v>
      </c>
      <c r="AG58" s="337">
        <f t="shared" si="1"/>
        <v>17</v>
      </c>
      <c r="AH58" s="337">
        <f t="shared" si="1"/>
        <v>18</v>
      </c>
      <c r="AI58" s="337">
        <f t="shared" si="1"/>
        <v>20</v>
      </c>
      <c r="AJ58" s="337"/>
      <c r="AK58" s="3"/>
      <c r="AL58" s="3"/>
      <c r="AM58" s="3"/>
      <c r="AN58" s="3"/>
      <c r="AO58" s="3"/>
    </row>
    <row r="59" spans="1:41" x14ac:dyDescent="0.2">
      <c r="A59" s="3"/>
      <c r="B59" s="356"/>
      <c r="C59" s="357"/>
      <c r="D59" s="357"/>
      <c r="E59" s="35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338"/>
      <c r="AB59" s="338"/>
      <c r="AC59" s="338"/>
      <c r="AD59" s="338"/>
      <c r="AE59" s="338"/>
      <c r="AF59" s="338"/>
      <c r="AG59" s="338"/>
      <c r="AH59" s="338"/>
      <c r="AI59" s="338"/>
      <c r="AJ59" s="338"/>
      <c r="AK59" s="3"/>
      <c r="AL59" s="3"/>
      <c r="AM59" s="3"/>
      <c r="AN59" s="3"/>
      <c r="AO59" s="3"/>
    </row>
    <row r="60" spans="1:41" x14ac:dyDescent="0.2">
      <c r="A60" s="3"/>
      <c r="B60" s="1"/>
      <c r="C60" s="1"/>
      <c r="D60" s="1"/>
      <c r="E60" s="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x14ac:dyDescent="0.2">
      <c r="A61" s="3"/>
      <c r="B61" s="339" t="s">
        <v>22</v>
      </c>
      <c r="C61" s="340"/>
      <c r="D61" s="340"/>
      <c r="E61" s="341"/>
      <c r="F61" s="337">
        <f t="shared" ref="F61:W61" si="2">COUNTIFS(F4:F53,"A600")</f>
        <v>6</v>
      </c>
      <c r="G61" s="337">
        <f t="shared" si="2"/>
        <v>5</v>
      </c>
      <c r="H61" s="337">
        <f t="shared" si="2"/>
        <v>3</v>
      </c>
      <c r="I61" s="337">
        <f t="shared" si="2"/>
        <v>5</v>
      </c>
      <c r="J61" s="337">
        <f t="shared" si="2"/>
        <v>6</v>
      </c>
      <c r="K61" s="337">
        <f t="shared" si="2"/>
        <v>6</v>
      </c>
      <c r="L61" s="337">
        <f t="shared" si="2"/>
        <v>6</v>
      </c>
      <c r="M61" s="337">
        <f t="shared" si="2"/>
        <v>4</v>
      </c>
      <c r="N61" s="337">
        <f t="shared" si="2"/>
        <v>8</v>
      </c>
      <c r="O61" s="337">
        <f t="shared" si="2"/>
        <v>7</v>
      </c>
      <c r="P61" s="337">
        <f t="shared" si="2"/>
        <v>5</v>
      </c>
      <c r="Q61" s="337">
        <f t="shared" si="2"/>
        <v>5</v>
      </c>
      <c r="R61" s="337">
        <f t="shared" si="2"/>
        <v>5</v>
      </c>
      <c r="S61" s="337">
        <f t="shared" si="2"/>
        <v>4</v>
      </c>
      <c r="T61" s="337">
        <f t="shared" si="2"/>
        <v>3</v>
      </c>
      <c r="U61" s="337">
        <f t="shared" si="2"/>
        <v>4</v>
      </c>
      <c r="V61" s="337">
        <f t="shared" si="2"/>
        <v>3</v>
      </c>
      <c r="W61" s="337">
        <f t="shared" si="2"/>
        <v>4</v>
      </c>
      <c r="X61" s="337">
        <f>COUNTIFS(H4:H53,"A600")</f>
        <v>3</v>
      </c>
      <c r="Y61" s="337">
        <f>COUNTIFS(Y4:Y53,"A600")</f>
        <v>4</v>
      </c>
      <c r="Z61" s="337">
        <f>COUNTIFS(Z4:Z53,"A600")</f>
        <v>5</v>
      </c>
      <c r="AA61" s="337">
        <f>COUNTIFS(AA4:AA53,"A600")</f>
        <v>2</v>
      </c>
      <c r="AB61" s="337">
        <f>COUNTIFS(AH4:AH53,"A600")</f>
        <v>6</v>
      </c>
      <c r="AC61" s="337">
        <f t="shared" ref="AC61:AI61" si="3">COUNTIFS(AC4:AC53,"A600")</f>
        <v>7</v>
      </c>
      <c r="AD61" s="337">
        <f t="shared" si="3"/>
        <v>5</v>
      </c>
      <c r="AE61" s="337">
        <f t="shared" si="3"/>
        <v>5</v>
      </c>
      <c r="AF61" s="337">
        <f t="shared" si="3"/>
        <v>7</v>
      </c>
      <c r="AG61" s="337">
        <f t="shared" si="3"/>
        <v>6</v>
      </c>
      <c r="AH61" s="337">
        <f t="shared" si="3"/>
        <v>6</v>
      </c>
      <c r="AI61" s="337">
        <f t="shared" si="3"/>
        <v>5</v>
      </c>
      <c r="AJ61" s="337"/>
      <c r="AK61" s="3"/>
      <c r="AL61" s="3"/>
      <c r="AM61" s="3"/>
      <c r="AN61" s="3"/>
      <c r="AO61" s="3"/>
    </row>
    <row r="62" spans="1:41" x14ac:dyDescent="0.2">
      <c r="A62" s="3"/>
      <c r="B62" s="342"/>
      <c r="C62" s="343"/>
      <c r="D62" s="343"/>
      <c r="E62" s="344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38"/>
      <c r="AI62" s="338"/>
      <c r="AJ62" s="338"/>
      <c r="AK62" s="3"/>
      <c r="AL62" s="3"/>
      <c r="AM62" s="3"/>
      <c r="AN62" s="3"/>
      <c r="AO62" s="3"/>
    </row>
    <row r="63" spans="1:41" x14ac:dyDescent="0.2">
      <c r="A63" s="3"/>
      <c r="B63" s="1"/>
      <c r="C63" s="1"/>
      <c r="D63" s="1"/>
      <c r="E63" s="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x14ac:dyDescent="0.2">
      <c r="A64" s="3"/>
      <c r="B64" s="333" t="s">
        <v>10</v>
      </c>
      <c r="C64" s="334"/>
      <c r="D64" s="334"/>
      <c r="E64" s="334"/>
      <c r="F64" s="331">
        <f t="shared" ref="F64:W64" si="4">COUNTIFS(F4:F53,"A900")</f>
        <v>16</v>
      </c>
      <c r="G64" s="331">
        <f t="shared" si="4"/>
        <v>15</v>
      </c>
      <c r="H64" s="331">
        <f t="shared" si="4"/>
        <v>16</v>
      </c>
      <c r="I64" s="331">
        <f t="shared" si="4"/>
        <v>14</v>
      </c>
      <c r="J64" s="331">
        <f t="shared" si="4"/>
        <v>14</v>
      </c>
      <c r="K64" s="331">
        <f t="shared" si="4"/>
        <v>13</v>
      </c>
      <c r="L64" s="331">
        <f t="shared" si="4"/>
        <v>14</v>
      </c>
      <c r="M64" s="331">
        <f t="shared" si="4"/>
        <v>14</v>
      </c>
      <c r="N64" s="331">
        <f t="shared" si="4"/>
        <v>17</v>
      </c>
      <c r="O64" s="331">
        <f t="shared" si="4"/>
        <v>13</v>
      </c>
      <c r="P64" s="331">
        <f t="shared" si="4"/>
        <v>14</v>
      </c>
      <c r="Q64" s="331">
        <f t="shared" si="4"/>
        <v>13</v>
      </c>
      <c r="R64" s="331">
        <f t="shared" si="4"/>
        <v>14</v>
      </c>
      <c r="S64" s="331">
        <f t="shared" si="4"/>
        <v>11</v>
      </c>
      <c r="T64" s="331">
        <f t="shared" si="4"/>
        <v>13</v>
      </c>
      <c r="U64" s="331">
        <f t="shared" si="4"/>
        <v>20</v>
      </c>
      <c r="V64" s="331">
        <f t="shared" si="4"/>
        <v>16</v>
      </c>
      <c r="W64" s="331">
        <f t="shared" si="4"/>
        <v>19</v>
      </c>
      <c r="X64" s="331">
        <f>COUNTIFS(H4:H53,"A900")</f>
        <v>16</v>
      </c>
      <c r="Y64" s="331">
        <f>COUNTIFS(Y4:Y53,"A900")</f>
        <v>15</v>
      </c>
      <c r="Z64" s="331">
        <f>COUNTIFS(Z4:Z53,"A900")</f>
        <v>14</v>
      </c>
      <c r="AA64" s="331">
        <f>COUNTIFS(AA4:AA53,"A900")</f>
        <v>14</v>
      </c>
      <c r="AB64" s="331">
        <f>COUNTIFS(AH4:AH53,"A900")</f>
        <v>13</v>
      </c>
      <c r="AC64" s="331">
        <f t="shared" ref="AC64:AI64" si="5">COUNTIFS(AC4:AC53,"A900")</f>
        <v>13</v>
      </c>
      <c r="AD64" s="331">
        <f t="shared" si="5"/>
        <v>16</v>
      </c>
      <c r="AE64" s="331">
        <f t="shared" si="5"/>
        <v>14</v>
      </c>
      <c r="AF64" s="331">
        <f t="shared" si="5"/>
        <v>14</v>
      </c>
      <c r="AG64" s="331">
        <f t="shared" si="5"/>
        <v>15</v>
      </c>
      <c r="AH64" s="331">
        <f t="shared" si="5"/>
        <v>13</v>
      </c>
      <c r="AI64" s="331">
        <f t="shared" si="5"/>
        <v>14</v>
      </c>
      <c r="AJ64" s="331"/>
      <c r="AK64" s="3"/>
      <c r="AL64" s="3"/>
      <c r="AM64" s="3"/>
      <c r="AN64" s="3"/>
      <c r="AO64" s="3"/>
    </row>
    <row r="65" spans="1:41" ht="15" customHeight="1" x14ac:dyDescent="0.2">
      <c r="A65" s="3"/>
      <c r="B65" s="335"/>
      <c r="C65" s="336"/>
      <c r="D65" s="336"/>
      <c r="E65" s="336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  <c r="AA65" s="332"/>
      <c r="AB65" s="332"/>
      <c r="AC65" s="332"/>
      <c r="AD65" s="332"/>
      <c r="AE65" s="332"/>
      <c r="AF65" s="332"/>
      <c r="AG65" s="332"/>
      <c r="AH65" s="332"/>
      <c r="AI65" s="332"/>
      <c r="AJ65" s="332"/>
      <c r="AK65" s="3"/>
      <c r="AL65" s="3"/>
      <c r="AM65" s="3"/>
      <c r="AN65" s="3"/>
      <c r="AO65" s="3"/>
    </row>
    <row r="66" spans="1:4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</sheetData>
  <mergeCells count="100">
    <mergeCell ref="Z64:Z65"/>
    <mergeCell ref="AA64:AA65"/>
    <mergeCell ref="AI64:AI65"/>
    <mergeCell ref="AJ64:AJ65"/>
    <mergeCell ref="AC64:AC65"/>
    <mergeCell ref="AD64:AD65"/>
    <mergeCell ref="AE64:AE65"/>
    <mergeCell ref="AF64:AF65"/>
    <mergeCell ref="AG64:AG65"/>
    <mergeCell ref="AH64:AH65"/>
    <mergeCell ref="AB64:AB65"/>
    <mergeCell ref="O64:O65"/>
    <mergeCell ref="P64:P65"/>
    <mergeCell ref="Y64:Y65"/>
    <mergeCell ref="Q64:Q65"/>
    <mergeCell ref="R64:R65"/>
    <mergeCell ref="S64:S65"/>
    <mergeCell ref="T64:T65"/>
    <mergeCell ref="U64:U65"/>
    <mergeCell ref="V64:V65"/>
    <mergeCell ref="W64:W65"/>
    <mergeCell ref="X64:X65"/>
    <mergeCell ref="AJ61:AJ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J58:AJ59"/>
    <mergeCell ref="F61:F62"/>
    <mergeCell ref="F64:F65"/>
    <mergeCell ref="G61:G62"/>
    <mergeCell ref="H61:H62"/>
    <mergeCell ref="I61:I62"/>
    <mergeCell ref="J61:J62"/>
    <mergeCell ref="K61:K62"/>
    <mergeCell ref="L61:L62"/>
    <mergeCell ref="AC58:AC59"/>
    <mergeCell ref="AD58:AD59"/>
    <mergeCell ref="AE58:AE59"/>
    <mergeCell ref="AF58:AF59"/>
    <mergeCell ref="AG58:AG59"/>
    <mergeCell ref="AH58:AH59"/>
    <mergeCell ref="G64:G65"/>
    <mergeCell ref="O61:O62"/>
    <mergeCell ref="P61:P62"/>
    <mergeCell ref="Q61:Q62"/>
    <mergeCell ref="AI61:AI62"/>
    <mergeCell ref="AI58:AI59"/>
    <mergeCell ref="R61:R62"/>
    <mergeCell ref="S61:S62"/>
    <mergeCell ref="T61:T62"/>
    <mergeCell ref="U61:U62"/>
    <mergeCell ref="V61:V62"/>
    <mergeCell ref="W61:W62"/>
    <mergeCell ref="X61:X62"/>
    <mergeCell ref="O58:O59"/>
    <mergeCell ref="AB58:AB59"/>
    <mergeCell ref="Q58:Q59"/>
    <mergeCell ref="R58:R59"/>
    <mergeCell ref="X58:X59"/>
    <mergeCell ref="Y58:Y59"/>
    <mergeCell ref="Z58:Z59"/>
    <mergeCell ref="AA58:AA59"/>
    <mergeCell ref="P58:P59"/>
    <mergeCell ref="S58:S59"/>
    <mergeCell ref="T58:T59"/>
    <mergeCell ref="U58:U59"/>
    <mergeCell ref="V58:V59"/>
    <mergeCell ref="W58:W59"/>
    <mergeCell ref="N61:N62"/>
    <mergeCell ref="K64:K65"/>
    <mergeCell ref="L64:L65"/>
    <mergeCell ref="M64:M65"/>
    <mergeCell ref="N64:N65"/>
    <mergeCell ref="N58:N59"/>
    <mergeCell ref="B2:B3"/>
    <mergeCell ref="C2:C3"/>
    <mergeCell ref="D2:D3"/>
    <mergeCell ref="E2:E3"/>
    <mergeCell ref="B58:E59"/>
    <mergeCell ref="J58:J59"/>
    <mergeCell ref="F58:F59"/>
    <mergeCell ref="G58:G59"/>
    <mergeCell ref="H58:H59"/>
    <mergeCell ref="I58:I59"/>
    <mergeCell ref="J64:J65"/>
    <mergeCell ref="B64:E65"/>
    <mergeCell ref="K58:K59"/>
    <mergeCell ref="L58:L59"/>
    <mergeCell ref="M58:M59"/>
    <mergeCell ref="B61:E62"/>
    <mergeCell ref="M61:M62"/>
    <mergeCell ref="H64:H65"/>
    <mergeCell ref="I64:I6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E54C-7108-4E0F-96FD-5E551AE792B5}">
  <dimension ref="B1:AO65"/>
  <sheetViews>
    <sheetView workbookViewId="0">
      <selection activeCell="I22" sqref="I22"/>
    </sheetView>
  </sheetViews>
  <sheetFormatPr defaultRowHeight="14.25" x14ac:dyDescent="0.2"/>
  <cols>
    <col min="3" max="3" width="13" bestFit="1" customWidth="1"/>
    <col min="5" max="5" width="11" bestFit="1" customWidth="1"/>
  </cols>
  <sheetData>
    <row r="1" spans="2:36" ht="15" thickBot="1" x14ac:dyDescent="0.25"/>
    <row r="2" spans="2:36" x14ac:dyDescent="0.2">
      <c r="B2" s="345" t="s">
        <v>0</v>
      </c>
      <c r="C2" s="347" t="s">
        <v>1</v>
      </c>
      <c r="D2" s="349" t="s">
        <v>2</v>
      </c>
      <c r="E2" s="351" t="s">
        <v>3</v>
      </c>
      <c r="F2" s="313" t="s">
        <v>130</v>
      </c>
      <c r="G2" s="313" t="s">
        <v>131</v>
      </c>
      <c r="H2" s="313" t="s">
        <v>132</v>
      </c>
      <c r="I2" s="313" t="s">
        <v>133</v>
      </c>
      <c r="J2" s="314" t="s">
        <v>134</v>
      </c>
      <c r="K2" s="315" t="s">
        <v>135</v>
      </c>
      <c r="L2" s="313" t="s">
        <v>136</v>
      </c>
      <c r="M2" s="313" t="s">
        <v>130</v>
      </c>
      <c r="N2" s="313" t="s">
        <v>131</v>
      </c>
      <c r="O2" s="313" t="s">
        <v>132</v>
      </c>
      <c r="P2" s="313" t="s">
        <v>133</v>
      </c>
      <c r="Q2" s="314" t="s">
        <v>134</v>
      </c>
      <c r="R2" s="315" t="s">
        <v>135</v>
      </c>
      <c r="S2" s="313" t="s">
        <v>136</v>
      </c>
      <c r="T2" s="313" t="s">
        <v>130</v>
      </c>
      <c r="U2" s="313" t="s">
        <v>131</v>
      </c>
      <c r="V2" s="313" t="s">
        <v>132</v>
      </c>
      <c r="W2" s="313" t="s">
        <v>133</v>
      </c>
      <c r="X2" s="314" t="s">
        <v>134</v>
      </c>
      <c r="Y2" s="315" t="s">
        <v>135</v>
      </c>
      <c r="Z2" s="313" t="s">
        <v>136</v>
      </c>
      <c r="AA2" s="313" t="s">
        <v>130</v>
      </c>
      <c r="AB2" s="313" t="s">
        <v>131</v>
      </c>
      <c r="AC2" s="313" t="s">
        <v>132</v>
      </c>
      <c r="AD2" s="313" t="s">
        <v>133</v>
      </c>
      <c r="AE2" s="314" t="s">
        <v>134</v>
      </c>
      <c r="AF2" s="315" t="s">
        <v>135</v>
      </c>
      <c r="AG2" s="313" t="s">
        <v>136</v>
      </c>
      <c r="AH2" s="313" t="s">
        <v>130</v>
      </c>
      <c r="AI2" s="316" t="s">
        <v>131</v>
      </c>
      <c r="AJ2" s="19"/>
    </row>
    <row r="3" spans="2:36" ht="15" thickBot="1" x14ac:dyDescent="0.25">
      <c r="B3" s="346"/>
      <c r="C3" s="348"/>
      <c r="D3" s="350"/>
      <c r="E3" s="352"/>
      <c r="F3" s="21">
        <v>46266</v>
      </c>
      <c r="G3" s="21">
        <v>46267</v>
      </c>
      <c r="H3" s="21">
        <v>46268</v>
      </c>
      <c r="I3" s="21">
        <v>46269</v>
      </c>
      <c r="J3" s="21">
        <v>46270</v>
      </c>
      <c r="K3" s="21">
        <v>46271</v>
      </c>
      <c r="L3" s="21">
        <v>46272</v>
      </c>
      <c r="M3" s="21">
        <v>46273</v>
      </c>
      <c r="N3" s="21">
        <v>46274</v>
      </c>
      <c r="O3" s="21">
        <v>46275</v>
      </c>
      <c r="P3" s="21">
        <v>46276</v>
      </c>
      <c r="Q3" s="21">
        <v>46277</v>
      </c>
      <c r="R3" s="21">
        <v>46278</v>
      </c>
      <c r="S3" s="21">
        <v>46279</v>
      </c>
      <c r="T3" s="21">
        <v>46280</v>
      </c>
      <c r="U3" s="21">
        <v>46281</v>
      </c>
      <c r="V3" s="21">
        <v>46282</v>
      </c>
      <c r="W3" s="21">
        <v>46283</v>
      </c>
      <c r="X3" s="21">
        <v>46284</v>
      </c>
      <c r="Y3" s="21">
        <v>46285</v>
      </c>
      <c r="Z3" s="21">
        <v>46286</v>
      </c>
      <c r="AA3" s="21">
        <v>46287</v>
      </c>
      <c r="AB3" s="21">
        <v>46288</v>
      </c>
      <c r="AC3" s="21">
        <v>46289</v>
      </c>
      <c r="AD3" s="21">
        <v>46290</v>
      </c>
      <c r="AE3" s="21">
        <v>46291</v>
      </c>
      <c r="AF3" s="21">
        <v>46292</v>
      </c>
      <c r="AG3" s="21">
        <v>46293</v>
      </c>
      <c r="AH3" s="21">
        <v>46294</v>
      </c>
      <c r="AI3" s="21">
        <v>46295</v>
      </c>
      <c r="AJ3" s="21"/>
    </row>
    <row r="4" spans="2:36" x14ac:dyDescent="0.2">
      <c r="B4" s="82">
        <v>7470175</v>
      </c>
      <c r="C4" s="83" t="s">
        <v>4</v>
      </c>
      <c r="D4" s="30" t="s">
        <v>5</v>
      </c>
      <c r="E4" s="123" t="s">
        <v>6</v>
      </c>
      <c r="F4" s="224" t="s">
        <v>116</v>
      </c>
      <c r="G4" s="225" t="s">
        <v>7</v>
      </c>
      <c r="H4" s="225" t="s">
        <v>7</v>
      </c>
      <c r="I4" s="225" t="s">
        <v>7</v>
      </c>
      <c r="J4" s="225" t="s">
        <v>7</v>
      </c>
      <c r="K4" s="225" t="s">
        <v>7</v>
      </c>
      <c r="L4" s="225" t="s">
        <v>7</v>
      </c>
      <c r="M4" s="224" t="s">
        <v>116</v>
      </c>
      <c r="N4" s="226" t="s">
        <v>10</v>
      </c>
      <c r="O4" s="226" t="s">
        <v>10</v>
      </c>
      <c r="P4" s="226" t="s">
        <v>10</v>
      </c>
      <c r="Q4" s="226" t="s">
        <v>10</v>
      </c>
      <c r="R4" s="226" t="s">
        <v>10</v>
      </c>
      <c r="S4" s="226" t="s">
        <v>10</v>
      </c>
      <c r="T4" s="224" t="s">
        <v>116</v>
      </c>
      <c r="U4" s="226" t="s">
        <v>10</v>
      </c>
      <c r="V4" s="226" t="s">
        <v>10</v>
      </c>
      <c r="W4" s="226" t="s">
        <v>10</v>
      </c>
      <c r="X4" s="226" t="s">
        <v>10</v>
      </c>
      <c r="Y4" s="226" t="s">
        <v>10</v>
      </c>
      <c r="Z4" s="226" t="s">
        <v>10</v>
      </c>
      <c r="AA4" s="224" t="s">
        <v>116</v>
      </c>
      <c r="AB4" s="225" t="s">
        <v>7</v>
      </c>
      <c r="AC4" s="225" t="s">
        <v>7</v>
      </c>
      <c r="AD4" s="225" t="s">
        <v>7</v>
      </c>
      <c r="AE4" s="225" t="s">
        <v>7</v>
      </c>
      <c r="AF4" s="225" t="s">
        <v>7</v>
      </c>
      <c r="AG4" s="224" t="s">
        <v>116</v>
      </c>
      <c r="AH4" s="225" t="s">
        <v>7</v>
      </c>
      <c r="AI4" s="227" t="s">
        <v>7</v>
      </c>
      <c r="AJ4" s="289"/>
    </row>
    <row r="5" spans="2:36" x14ac:dyDescent="0.2">
      <c r="B5" s="61">
        <v>6199259</v>
      </c>
      <c r="C5" s="62" t="s">
        <v>11</v>
      </c>
      <c r="D5" s="63" t="s">
        <v>12</v>
      </c>
      <c r="E5" s="22" t="s">
        <v>13</v>
      </c>
      <c r="F5" s="228" t="s">
        <v>10</v>
      </c>
      <c r="G5" s="206" t="s">
        <v>116</v>
      </c>
      <c r="H5" s="229" t="s">
        <v>10</v>
      </c>
      <c r="I5" s="229" t="s">
        <v>10</v>
      </c>
      <c r="J5" s="229" t="s">
        <v>10</v>
      </c>
      <c r="K5" s="229" t="s">
        <v>10</v>
      </c>
      <c r="L5" s="229" t="s">
        <v>10</v>
      </c>
      <c r="M5" s="229" t="s">
        <v>10</v>
      </c>
      <c r="N5" s="206" t="s">
        <v>116</v>
      </c>
      <c r="O5" s="230" t="s">
        <v>7</v>
      </c>
      <c r="P5" s="230" t="s">
        <v>7</v>
      </c>
      <c r="Q5" s="230" t="s">
        <v>7</v>
      </c>
      <c r="R5" s="230" t="s">
        <v>7</v>
      </c>
      <c r="S5" s="230" t="s">
        <v>7</v>
      </c>
      <c r="T5" s="230" t="s">
        <v>7</v>
      </c>
      <c r="U5" s="231" t="s">
        <v>116</v>
      </c>
      <c r="V5" s="230" t="s">
        <v>7</v>
      </c>
      <c r="W5" s="230" t="s">
        <v>7</v>
      </c>
      <c r="X5" s="230" t="s">
        <v>7</v>
      </c>
      <c r="Y5" s="230" t="s">
        <v>7</v>
      </c>
      <c r="Z5" s="230" t="s">
        <v>7</v>
      </c>
      <c r="AA5" s="230" t="s">
        <v>7</v>
      </c>
      <c r="AB5" s="231" t="s">
        <v>116</v>
      </c>
      <c r="AC5" s="229" t="s">
        <v>10</v>
      </c>
      <c r="AD5" s="229" t="s">
        <v>10</v>
      </c>
      <c r="AE5" s="229" t="s">
        <v>10</v>
      </c>
      <c r="AF5" s="229" t="s">
        <v>10</v>
      </c>
      <c r="AG5" s="229" t="s">
        <v>10</v>
      </c>
      <c r="AH5" s="231" t="s">
        <v>116</v>
      </c>
      <c r="AI5" s="232" t="s">
        <v>10</v>
      </c>
      <c r="AJ5" s="290"/>
    </row>
    <row r="6" spans="2:36" x14ac:dyDescent="0.2">
      <c r="B6" s="64" t="s">
        <v>14</v>
      </c>
      <c r="C6" s="65" t="s">
        <v>15</v>
      </c>
      <c r="D6" s="66" t="s">
        <v>16</v>
      </c>
      <c r="E6" s="23" t="s">
        <v>6</v>
      </c>
      <c r="F6" s="228" t="s">
        <v>10</v>
      </c>
      <c r="G6" s="229" t="s">
        <v>10</v>
      </c>
      <c r="H6" s="206" t="s">
        <v>116</v>
      </c>
      <c r="I6" s="229" t="s">
        <v>10</v>
      </c>
      <c r="J6" s="229" t="s">
        <v>10</v>
      </c>
      <c r="K6" s="229" t="s">
        <v>10</v>
      </c>
      <c r="L6" s="229" t="s">
        <v>10</v>
      </c>
      <c r="M6" s="229" t="s">
        <v>10</v>
      </c>
      <c r="N6" s="233" t="s">
        <v>9</v>
      </c>
      <c r="O6" s="206" t="s">
        <v>116</v>
      </c>
      <c r="P6" s="230" t="s">
        <v>7</v>
      </c>
      <c r="Q6" s="230" t="s">
        <v>7</v>
      </c>
      <c r="R6" s="230" t="s">
        <v>7</v>
      </c>
      <c r="S6" s="230" t="s">
        <v>7</v>
      </c>
      <c r="T6" s="230" t="s">
        <v>7</v>
      </c>
      <c r="U6" s="230" t="s">
        <v>7</v>
      </c>
      <c r="V6" s="231" t="s">
        <v>116</v>
      </c>
      <c r="W6" s="230" t="s">
        <v>7</v>
      </c>
      <c r="X6" s="230" t="s">
        <v>7</v>
      </c>
      <c r="Y6" s="230" t="s">
        <v>7</v>
      </c>
      <c r="Z6" s="230" t="s">
        <v>7</v>
      </c>
      <c r="AA6" s="230" t="s">
        <v>7</v>
      </c>
      <c r="AB6" s="230" t="s">
        <v>7</v>
      </c>
      <c r="AC6" s="231" t="s">
        <v>116</v>
      </c>
      <c r="AD6" s="229" t="s">
        <v>10</v>
      </c>
      <c r="AE6" s="229" t="s">
        <v>10</v>
      </c>
      <c r="AF6" s="229" t="s">
        <v>10</v>
      </c>
      <c r="AG6" s="229" t="s">
        <v>10</v>
      </c>
      <c r="AH6" s="229" t="s">
        <v>10</v>
      </c>
      <c r="AI6" s="234" t="s">
        <v>116</v>
      </c>
      <c r="AJ6" s="290"/>
    </row>
    <row r="7" spans="2:36" x14ac:dyDescent="0.2">
      <c r="B7" s="39">
        <v>5999351</v>
      </c>
      <c r="C7" s="40" t="s">
        <v>18</v>
      </c>
      <c r="D7" s="67" t="s">
        <v>19</v>
      </c>
      <c r="E7" s="8" t="s">
        <v>13</v>
      </c>
      <c r="F7" s="230" t="s">
        <v>7</v>
      </c>
      <c r="G7" s="230" t="s">
        <v>7</v>
      </c>
      <c r="H7" s="230" t="s">
        <v>7</v>
      </c>
      <c r="I7" s="206" t="s">
        <v>116</v>
      </c>
      <c r="J7" s="230" t="s">
        <v>7</v>
      </c>
      <c r="K7" s="230" t="s">
        <v>7</v>
      </c>
      <c r="L7" s="230" t="s">
        <v>7</v>
      </c>
      <c r="M7" s="230" t="s">
        <v>7</v>
      </c>
      <c r="N7" s="230" t="s">
        <v>7</v>
      </c>
      <c r="O7" s="230" t="s">
        <v>7</v>
      </c>
      <c r="P7" s="235" t="s">
        <v>116</v>
      </c>
      <c r="Q7" s="229" t="s">
        <v>10</v>
      </c>
      <c r="R7" s="229" t="s">
        <v>10</v>
      </c>
      <c r="S7" s="229" t="s">
        <v>10</v>
      </c>
      <c r="T7" s="229" t="s">
        <v>10</v>
      </c>
      <c r="U7" s="229" t="s">
        <v>10</v>
      </c>
      <c r="V7" s="229" t="s">
        <v>10</v>
      </c>
      <c r="W7" s="231" t="s">
        <v>116</v>
      </c>
      <c r="X7" s="229" t="s">
        <v>10</v>
      </c>
      <c r="Y7" s="229" t="s">
        <v>10</v>
      </c>
      <c r="Z7" s="229" t="s">
        <v>10</v>
      </c>
      <c r="AA7" s="229" t="s">
        <v>10</v>
      </c>
      <c r="AB7" s="229" t="s">
        <v>10</v>
      </c>
      <c r="AC7" s="229" t="s">
        <v>10</v>
      </c>
      <c r="AD7" s="231" t="s">
        <v>116</v>
      </c>
      <c r="AE7" s="230" t="s">
        <v>7</v>
      </c>
      <c r="AF7" s="230" t="s">
        <v>7</v>
      </c>
      <c r="AG7" s="230" t="s">
        <v>7</v>
      </c>
      <c r="AH7" s="230" t="s">
        <v>7</v>
      </c>
      <c r="AI7" s="236" t="s">
        <v>7</v>
      </c>
      <c r="AJ7" s="291"/>
    </row>
    <row r="8" spans="2:36" ht="15" thickBot="1" x14ac:dyDescent="0.25">
      <c r="B8" s="68">
        <v>7755071</v>
      </c>
      <c r="C8" s="69" t="s">
        <v>20</v>
      </c>
      <c r="D8" s="29" t="s">
        <v>21</v>
      </c>
      <c r="E8" s="29" t="s">
        <v>6</v>
      </c>
      <c r="F8" s="237" t="s">
        <v>22</v>
      </c>
      <c r="G8" s="238" t="s">
        <v>22</v>
      </c>
      <c r="H8" s="238" t="s">
        <v>22</v>
      </c>
      <c r="I8" s="238" t="s">
        <v>22</v>
      </c>
      <c r="J8" s="238" t="s">
        <v>22</v>
      </c>
      <c r="K8" s="239" t="s">
        <v>116</v>
      </c>
      <c r="L8" s="238" t="s">
        <v>22</v>
      </c>
      <c r="M8" s="238" t="s">
        <v>22</v>
      </c>
      <c r="N8" s="238" t="s">
        <v>22</v>
      </c>
      <c r="O8" s="238" t="s">
        <v>22</v>
      </c>
      <c r="P8" s="237" t="s">
        <v>22</v>
      </c>
      <c r="Q8" s="237" t="s">
        <v>22</v>
      </c>
      <c r="R8" s="231" t="s">
        <v>116</v>
      </c>
      <c r="S8" s="237" t="s">
        <v>22</v>
      </c>
      <c r="T8" s="237" t="s">
        <v>22</v>
      </c>
      <c r="U8" s="237" t="s">
        <v>22</v>
      </c>
      <c r="V8" s="237" t="s">
        <v>22</v>
      </c>
      <c r="W8" s="237" t="s">
        <v>22</v>
      </c>
      <c r="X8" s="237" t="s">
        <v>22</v>
      </c>
      <c r="Y8" s="231" t="s">
        <v>116</v>
      </c>
      <c r="Z8" s="237" t="s">
        <v>22</v>
      </c>
      <c r="AA8" s="237" t="s">
        <v>22</v>
      </c>
      <c r="AB8" s="237" t="s">
        <v>22</v>
      </c>
      <c r="AC8" s="233" t="s">
        <v>9</v>
      </c>
      <c r="AD8" s="237" t="s">
        <v>22</v>
      </c>
      <c r="AE8" s="231" t="s">
        <v>116</v>
      </c>
      <c r="AF8" s="237" t="s">
        <v>22</v>
      </c>
      <c r="AG8" s="237" t="s">
        <v>22</v>
      </c>
      <c r="AH8" s="237" t="s">
        <v>22</v>
      </c>
      <c r="AI8" s="240" t="s">
        <v>22</v>
      </c>
      <c r="AJ8" s="292"/>
    </row>
    <row r="9" spans="2:36" x14ac:dyDescent="0.2">
      <c r="B9" s="70">
        <v>7763969</v>
      </c>
      <c r="C9" s="71" t="s">
        <v>23</v>
      </c>
      <c r="D9" s="72" t="s">
        <v>117</v>
      </c>
      <c r="E9" s="72" t="s">
        <v>24</v>
      </c>
      <c r="F9" s="226" t="s">
        <v>10</v>
      </c>
      <c r="G9" s="226" t="s">
        <v>10</v>
      </c>
      <c r="H9" s="226" t="s">
        <v>10</v>
      </c>
      <c r="I9" s="226" t="s">
        <v>10</v>
      </c>
      <c r="J9" s="226" t="s">
        <v>10</v>
      </c>
      <c r="K9" s="224" t="s">
        <v>116</v>
      </c>
      <c r="L9" s="225" t="s">
        <v>7</v>
      </c>
      <c r="M9" s="225" t="s">
        <v>7</v>
      </c>
      <c r="N9" s="225" t="s">
        <v>7</v>
      </c>
      <c r="O9" s="225" t="s">
        <v>7</v>
      </c>
      <c r="P9" s="225" t="s">
        <v>7</v>
      </c>
      <c r="Q9" s="225" t="s">
        <v>7</v>
      </c>
      <c r="R9" s="224" t="s">
        <v>116</v>
      </c>
      <c r="S9" s="225" t="s">
        <v>7</v>
      </c>
      <c r="T9" s="225" t="s">
        <v>7</v>
      </c>
      <c r="U9" s="225" t="s">
        <v>7</v>
      </c>
      <c r="V9" s="225" t="s">
        <v>7</v>
      </c>
      <c r="W9" s="225" t="s">
        <v>7</v>
      </c>
      <c r="X9" s="225" t="s">
        <v>7</v>
      </c>
      <c r="Y9" s="224" t="s">
        <v>116</v>
      </c>
      <c r="Z9" s="241" t="s">
        <v>22</v>
      </c>
      <c r="AA9" s="241" t="s">
        <v>22</v>
      </c>
      <c r="AB9" s="241" t="s">
        <v>22</v>
      </c>
      <c r="AC9" s="241" t="s">
        <v>22</v>
      </c>
      <c r="AD9" s="241" t="s">
        <v>22</v>
      </c>
      <c r="AE9" s="224" t="s">
        <v>116</v>
      </c>
      <c r="AF9" s="241" t="s">
        <v>22</v>
      </c>
      <c r="AG9" s="241" t="s">
        <v>22</v>
      </c>
      <c r="AH9" s="241" t="s">
        <v>22</v>
      </c>
      <c r="AI9" s="242" t="s">
        <v>22</v>
      </c>
      <c r="AJ9" s="293"/>
    </row>
    <row r="10" spans="2:36" x14ac:dyDescent="0.2">
      <c r="B10" s="27">
        <v>7827209</v>
      </c>
      <c r="C10" s="13" t="s">
        <v>25</v>
      </c>
      <c r="D10" s="12" t="s">
        <v>26</v>
      </c>
      <c r="E10" s="12" t="s">
        <v>27</v>
      </c>
      <c r="F10" s="230" t="s">
        <v>7</v>
      </c>
      <c r="G10" s="230" t="s">
        <v>7</v>
      </c>
      <c r="H10" s="230" t="s">
        <v>7</v>
      </c>
      <c r="I10" s="230" t="s">
        <v>7</v>
      </c>
      <c r="J10" s="230" t="s">
        <v>7</v>
      </c>
      <c r="K10" s="231" t="s">
        <v>116</v>
      </c>
      <c r="L10" s="230" t="s">
        <v>7</v>
      </c>
      <c r="M10" s="230" t="s">
        <v>7</v>
      </c>
      <c r="N10" s="230" t="s">
        <v>7</v>
      </c>
      <c r="O10" s="230" t="s">
        <v>7</v>
      </c>
      <c r="P10" s="230" t="s">
        <v>7</v>
      </c>
      <c r="Q10" s="230" t="s">
        <v>7</v>
      </c>
      <c r="R10" s="231" t="s">
        <v>116</v>
      </c>
      <c r="S10" s="230" t="s">
        <v>7</v>
      </c>
      <c r="T10" s="230" t="s">
        <v>7</v>
      </c>
      <c r="U10" s="230" t="s">
        <v>7</v>
      </c>
      <c r="V10" s="230" t="s">
        <v>7</v>
      </c>
      <c r="W10" s="230" t="s">
        <v>7</v>
      </c>
      <c r="X10" s="230" t="s">
        <v>7</v>
      </c>
      <c r="Y10" s="231" t="s">
        <v>116</v>
      </c>
      <c r="Z10" s="229" t="s">
        <v>10</v>
      </c>
      <c r="AA10" s="229" t="s">
        <v>10</v>
      </c>
      <c r="AB10" s="229" t="s">
        <v>10</v>
      </c>
      <c r="AC10" s="229" t="s">
        <v>10</v>
      </c>
      <c r="AD10" s="229" t="s">
        <v>10</v>
      </c>
      <c r="AE10" s="235" t="s">
        <v>116</v>
      </c>
      <c r="AF10" s="229" t="s">
        <v>10</v>
      </c>
      <c r="AG10" s="229" t="s">
        <v>10</v>
      </c>
      <c r="AH10" s="229" t="s">
        <v>10</v>
      </c>
      <c r="AI10" s="232" t="s">
        <v>10</v>
      </c>
      <c r="AJ10" s="294"/>
    </row>
    <row r="11" spans="2:36" x14ac:dyDescent="0.2">
      <c r="B11" s="27">
        <v>7408435</v>
      </c>
      <c r="C11" s="13" t="s">
        <v>28</v>
      </c>
      <c r="D11" s="12" t="s">
        <v>29</v>
      </c>
      <c r="E11" s="12" t="s">
        <v>24</v>
      </c>
      <c r="F11" s="229" t="s">
        <v>10</v>
      </c>
      <c r="G11" s="229" t="s">
        <v>10</v>
      </c>
      <c r="H11" s="229" t="s">
        <v>10</v>
      </c>
      <c r="I11" s="229" t="s">
        <v>10</v>
      </c>
      <c r="J11" s="229" t="s">
        <v>10</v>
      </c>
      <c r="K11" s="231" t="s">
        <v>116</v>
      </c>
      <c r="L11" s="243" t="s">
        <v>10</v>
      </c>
      <c r="M11" s="243" t="s">
        <v>10</v>
      </c>
      <c r="N11" s="243" t="s">
        <v>10</v>
      </c>
      <c r="O11" s="243" t="s">
        <v>10</v>
      </c>
      <c r="P11" s="243" t="s">
        <v>10</v>
      </c>
      <c r="Q11" s="243" t="s">
        <v>10</v>
      </c>
      <c r="R11" s="231" t="s">
        <v>116</v>
      </c>
      <c r="S11" s="230" t="s">
        <v>7</v>
      </c>
      <c r="T11" s="230" t="s">
        <v>7</v>
      </c>
      <c r="U11" s="230" t="s">
        <v>7</v>
      </c>
      <c r="V11" s="230" t="s">
        <v>7</v>
      </c>
      <c r="W11" s="230" t="s">
        <v>7</v>
      </c>
      <c r="X11" s="230" t="s">
        <v>7</v>
      </c>
      <c r="Y11" s="231" t="s">
        <v>116</v>
      </c>
      <c r="Z11" s="230" t="s">
        <v>7</v>
      </c>
      <c r="AA11" s="230" t="s">
        <v>7</v>
      </c>
      <c r="AB11" s="230" t="s">
        <v>7</v>
      </c>
      <c r="AC11" s="230" t="s">
        <v>7</v>
      </c>
      <c r="AD11" s="230" t="s">
        <v>7</v>
      </c>
      <c r="AE11" s="231" t="s">
        <v>116</v>
      </c>
      <c r="AF11" s="207" t="s">
        <v>22</v>
      </c>
      <c r="AG11" s="207" t="s">
        <v>22</v>
      </c>
      <c r="AH11" s="207" t="s">
        <v>22</v>
      </c>
      <c r="AI11" s="215" t="s">
        <v>22</v>
      </c>
      <c r="AJ11" s="290"/>
    </row>
    <row r="12" spans="2:36" x14ac:dyDescent="0.2">
      <c r="B12" s="27">
        <v>7863829</v>
      </c>
      <c r="C12" s="13" t="s">
        <v>30</v>
      </c>
      <c r="D12" s="12" t="s">
        <v>31</v>
      </c>
      <c r="E12" s="12" t="s">
        <v>27</v>
      </c>
      <c r="F12" s="230" t="s">
        <v>7</v>
      </c>
      <c r="G12" s="230" t="s">
        <v>7</v>
      </c>
      <c r="H12" s="230" t="s">
        <v>7</v>
      </c>
      <c r="I12" s="230" t="s">
        <v>7</v>
      </c>
      <c r="J12" s="230" t="s">
        <v>7</v>
      </c>
      <c r="K12" s="231" t="s">
        <v>116</v>
      </c>
      <c r="L12" s="230" t="s">
        <v>7</v>
      </c>
      <c r="M12" s="230" t="s">
        <v>7</v>
      </c>
      <c r="N12" s="230" t="s">
        <v>7</v>
      </c>
      <c r="O12" s="230" t="s">
        <v>7</v>
      </c>
      <c r="P12" s="230" t="s">
        <v>7</v>
      </c>
      <c r="Q12" s="233" t="s">
        <v>9</v>
      </c>
      <c r="R12" s="235" t="s">
        <v>116</v>
      </c>
      <c r="S12" s="229" t="s">
        <v>10</v>
      </c>
      <c r="T12" s="229" t="s">
        <v>10</v>
      </c>
      <c r="U12" s="229" t="s">
        <v>10</v>
      </c>
      <c r="V12" s="229" t="s">
        <v>10</v>
      </c>
      <c r="W12" s="229" t="s">
        <v>10</v>
      </c>
      <c r="X12" s="229" t="s">
        <v>10</v>
      </c>
      <c r="Y12" s="231" t="s">
        <v>116</v>
      </c>
      <c r="Z12" s="229" t="s">
        <v>10</v>
      </c>
      <c r="AA12" s="229" t="s">
        <v>10</v>
      </c>
      <c r="AB12" s="229" t="s">
        <v>10</v>
      </c>
      <c r="AC12" s="229" t="s">
        <v>10</v>
      </c>
      <c r="AD12" s="229" t="s">
        <v>10</v>
      </c>
      <c r="AE12" s="231" t="s">
        <v>116</v>
      </c>
      <c r="AF12" s="229" t="s">
        <v>10</v>
      </c>
      <c r="AG12" s="229" t="s">
        <v>10</v>
      </c>
      <c r="AH12" s="229" t="s">
        <v>10</v>
      </c>
      <c r="AI12" s="232" t="s">
        <v>10</v>
      </c>
      <c r="AJ12" s="294"/>
    </row>
    <row r="13" spans="2:36" x14ac:dyDescent="0.2">
      <c r="B13" s="27">
        <v>7864531</v>
      </c>
      <c r="C13" s="13" t="s">
        <v>32</v>
      </c>
      <c r="D13" s="12" t="s">
        <v>33</v>
      </c>
      <c r="E13" s="12" t="s">
        <v>24</v>
      </c>
      <c r="F13" s="229" t="s">
        <v>10</v>
      </c>
      <c r="G13" s="229" t="s">
        <v>10</v>
      </c>
      <c r="H13" s="229" t="s">
        <v>10</v>
      </c>
      <c r="I13" s="229" t="s">
        <v>10</v>
      </c>
      <c r="J13" s="229" t="s">
        <v>10</v>
      </c>
      <c r="K13" s="231" t="s">
        <v>116</v>
      </c>
      <c r="L13" s="230" t="s">
        <v>7</v>
      </c>
      <c r="M13" s="230" t="s">
        <v>7</v>
      </c>
      <c r="N13" s="230" t="s">
        <v>7</v>
      </c>
      <c r="O13" s="230" t="s">
        <v>7</v>
      </c>
      <c r="P13" s="230" t="s">
        <v>7</v>
      </c>
      <c r="Q13" s="230" t="s">
        <v>7</v>
      </c>
      <c r="R13" s="235" t="s">
        <v>116</v>
      </c>
      <c r="S13" s="230" t="s">
        <v>7</v>
      </c>
      <c r="T13" s="230" t="s">
        <v>7</v>
      </c>
      <c r="U13" s="230" t="s">
        <v>7</v>
      </c>
      <c r="V13" s="230" t="s">
        <v>7</v>
      </c>
      <c r="W13" s="230" t="s">
        <v>7</v>
      </c>
      <c r="X13" s="230" t="s">
        <v>7</v>
      </c>
      <c r="Y13" s="231" t="s">
        <v>116</v>
      </c>
      <c r="Z13" s="207" t="s">
        <v>22</v>
      </c>
      <c r="AA13" s="207" t="s">
        <v>22</v>
      </c>
      <c r="AB13" s="207" t="s">
        <v>22</v>
      </c>
      <c r="AC13" s="207" t="s">
        <v>22</v>
      </c>
      <c r="AD13" s="207" t="s">
        <v>22</v>
      </c>
      <c r="AE13" s="231" t="s">
        <v>116</v>
      </c>
      <c r="AF13" s="229" t="s">
        <v>10</v>
      </c>
      <c r="AG13" s="229" t="s">
        <v>10</v>
      </c>
      <c r="AH13" s="229" t="s">
        <v>10</v>
      </c>
      <c r="AI13" s="232" t="s">
        <v>10</v>
      </c>
      <c r="AJ13" s="295"/>
    </row>
    <row r="14" spans="2:36" ht="15" thickBot="1" x14ac:dyDescent="0.25">
      <c r="B14" s="73">
        <v>7916515</v>
      </c>
      <c r="C14" s="74" t="s">
        <v>34</v>
      </c>
      <c r="D14" s="75" t="s">
        <v>35</v>
      </c>
      <c r="E14" s="76" t="s">
        <v>27</v>
      </c>
      <c r="F14" s="244" t="s">
        <v>10</v>
      </c>
      <c r="G14" s="243" t="s">
        <v>10</v>
      </c>
      <c r="H14" s="243" t="s">
        <v>10</v>
      </c>
      <c r="I14" s="243" t="s">
        <v>10</v>
      </c>
      <c r="J14" s="243" t="s">
        <v>10</v>
      </c>
      <c r="K14" s="231" t="s">
        <v>116</v>
      </c>
      <c r="L14" s="243" t="s">
        <v>10</v>
      </c>
      <c r="M14" s="243" t="s">
        <v>10</v>
      </c>
      <c r="N14" s="243" t="s">
        <v>10</v>
      </c>
      <c r="O14" s="243" t="s">
        <v>10</v>
      </c>
      <c r="P14" s="243" t="s">
        <v>10</v>
      </c>
      <c r="Q14" s="243" t="s">
        <v>10</v>
      </c>
      <c r="R14" s="231" t="s">
        <v>116</v>
      </c>
      <c r="S14" s="245" t="s">
        <v>7</v>
      </c>
      <c r="T14" s="245" t="s">
        <v>7</v>
      </c>
      <c r="U14" s="245" t="s">
        <v>7</v>
      </c>
      <c r="V14" s="245" t="s">
        <v>7</v>
      </c>
      <c r="W14" s="245" t="s">
        <v>7</v>
      </c>
      <c r="X14" s="245" t="s">
        <v>7</v>
      </c>
      <c r="Y14" s="231" t="s">
        <v>116</v>
      </c>
      <c r="Z14" s="237" t="s">
        <v>22</v>
      </c>
      <c r="AA14" s="237" t="s">
        <v>22</v>
      </c>
      <c r="AB14" s="237" t="s">
        <v>22</v>
      </c>
      <c r="AC14" s="237" t="s">
        <v>22</v>
      </c>
      <c r="AD14" s="237" t="s">
        <v>22</v>
      </c>
      <c r="AE14" s="231" t="s">
        <v>116</v>
      </c>
      <c r="AF14" s="237" t="s">
        <v>22</v>
      </c>
      <c r="AG14" s="237" t="s">
        <v>22</v>
      </c>
      <c r="AH14" s="237" t="s">
        <v>22</v>
      </c>
      <c r="AI14" s="240" t="s">
        <v>22</v>
      </c>
      <c r="AJ14" s="296"/>
    </row>
    <row r="15" spans="2:36" x14ac:dyDescent="0.2">
      <c r="B15" s="77">
        <v>7597374</v>
      </c>
      <c r="C15" s="78" t="s">
        <v>36</v>
      </c>
      <c r="D15" s="79" t="s">
        <v>37</v>
      </c>
      <c r="E15" s="79" t="s">
        <v>24</v>
      </c>
      <c r="F15" s="226" t="s">
        <v>10</v>
      </c>
      <c r="G15" s="226" t="s">
        <v>10</v>
      </c>
      <c r="H15" s="225" t="s">
        <v>7</v>
      </c>
      <c r="I15" s="225" t="s">
        <v>7</v>
      </c>
      <c r="J15" s="225" t="s">
        <v>7</v>
      </c>
      <c r="K15" s="225" t="s">
        <v>7</v>
      </c>
      <c r="L15" s="224" t="s">
        <v>116</v>
      </c>
      <c r="M15" s="226" t="s">
        <v>10</v>
      </c>
      <c r="N15" s="226" t="s">
        <v>10</v>
      </c>
      <c r="O15" s="226" t="s">
        <v>10</v>
      </c>
      <c r="P15" s="226" t="s">
        <v>10</v>
      </c>
      <c r="Q15" s="226" t="s">
        <v>10</v>
      </c>
      <c r="R15" s="226" t="s">
        <v>10</v>
      </c>
      <c r="S15" s="224" t="s">
        <v>116</v>
      </c>
      <c r="T15" s="225" t="s">
        <v>7</v>
      </c>
      <c r="U15" s="225" t="s">
        <v>7</v>
      </c>
      <c r="V15" s="225" t="s">
        <v>7</v>
      </c>
      <c r="W15" s="225" t="s">
        <v>7</v>
      </c>
      <c r="X15" s="225" t="s">
        <v>7</v>
      </c>
      <c r="Y15" s="225" t="s">
        <v>7</v>
      </c>
      <c r="Z15" s="224" t="s">
        <v>116</v>
      </c>
      <c r="AA15" s="225" t="s">
        <v>7</v>
      </c>
      <c r="AB15" s="225" t="s">
        <v>7</v>
      </c>
      <c r="AC15" s="225" t="s">
        <v>7</v>
      </c>
      <c r="AD15" s="225" t="s">
        <v>7</v>
      </c>
      <c r="AE15" s="225" t="s">
        <v>7</v>
      </c>
      <c r="AF15" s="225" t="s">
        <v>7</v>
      </c>
      <c r="AG15" s="224" t="s">
        <v>116</v>
      </c>
      <c r="AH15" s="226" t="s">
        <v>10</v>
      </c>
      <c r="AI15" s="226" t="s">
        <v>10</v>
      </c>
      <c r="AJ15" s="297"/>
    </row>
    <row r="16" spans="2:36" x14ac:dyDescent="0.2">
      <c r="B16" s="80">
        <v>7828240</v>
      </c>
      <c r="C16" s="81" t="s">
        <v>38</v>
      </c>
      <c r="D16" s="28" t="s">
        <v>39</v>
      </c>
      <c r="E16" s="28" t="s">
        <v>24</v>
      </c>
      <c r="F16" s="230" t="s">
        <v>7</v>
      </c>
      <c r="G16" s="230" t="s">
        <v>7</v>
      </c>
      <c r="H16" s="230" t="s">
        <v>7</v>
      </c>
      <c r="I16" s="230" t="s">
        <v>7</v>
      </c>
      <c r="J16" s="230" t="s">
        <v>7</v>
      </c>
      <c r="K16" s="230" t="s">
        <v>7</v>
      </c>
      <c r="L16" s="231" t="s">
        <v>116</v>
      </c>
      <c r="M16" s="230" t="s">
        <v>7</v>
      </c>
      <c r="N16" s="230" t="s">
        <v>7</v>
      </c>
      <c r="O16" s="230" t="s">
        <v>7</v>
      </c>
      <c r="P16" s="230" t="s">
        <v>7</v>
      </c>
      <c r="Q16" s="230" t="s">
        <v>7</v>
      </c>
      <c r="R16" s="230" t="s">
        <v>7</v>
      </c>
      <c r="S16" s="231" t="s">
        <v>116</v>
      </c>
      <c r="T16" s="207" t="s">
        <v>22</v>
      </c>
      <c r="U16" s="207" t="s">
        <v>22</v>
      </c>
      <c r="V16" s="207" t="s">
        <v>22</v>
      </c>
      <c r="W16" s="207" t="s">
        <v>22</v>
      </c>
      <c r="X16" s="207" t="s">
        <v>22</v>
      </c>
      <c r="Y16" s="207" t="s">
        <v>22</v>
      </c>
      <c r="Z16" s="231" t="s">
        <v>116</v>
      </c>
      <c r="AA16" s="230" t="s">
        <v>7</v>
      </c>
      <c r="AB16" s="230" t="s">
        <v>7</v>
      </c>
      <c r="AC16" s="230" t="s">
        <v>7</v>
      </c>
      <c r="AD16" s="230" t="s">
        <v>7</v>
      </c>
      <c r="AE16" s="230" t="s">
        <v>7</v>
      </c>
      <c r="AF16" s="231" t="s">
        <v>116</v>
      </c>
      <c r="AG16" s="230" t="s">
        <v>7</v>
      </c>
      <c r="AH16" s="230" t="s">
        <v>7</v>
      </c>
      <c r="AI16" s="236" t="s">
        <v>7</v>
      </c>
      <c r="AJ16" s="298"/>
    </row>
    <row r="17" spans="2:36" x14ac:dyDescent="0.2">
      <c r="B17" s="80">
        <v>7837148</v>
      </c>
      <c r="C17" s="81" t="s">
        <v>40</v>
      </c>
      <c r="D17" s="28" t="s">
        <v>41</v>
      </c>
      <c r="E17" s="28" t="s">
        <v>24</v>
      </c>
      <c r="F17" s="230" t="s">
        <v>7</v>
      </c>
      <c r="G17" s="230" t="s">
        <v>7</v>
      </c>
      <c r="H17" s="230" t="s">
        <v>7</v>
      </c>
      <c r="I17" s="230" t="s">
        <v>7</v>
      </c>
      <c r="J17" s="230" t="s">
        <v>7</v>
      </c>
      <c r="K17" s="230" t="s">
        <v>7</v>
      </c>
      <c r="L17" s="231" t="s">
        <v>116</v>
      </c>
      <c r="M17" s="230" t="s">
        <v>7</v>
      </c>
      <c r="N17" s="230" t="s">
        <v>7</v>
      </c>
      <c r="O17" s="230" t="s">
        <v>7</v>
      </c>
      <c r="P17" s="230" t="s">
        <v>7</v>
      </c>
      <c r="Q17" s="230" t="s">
        <v>7</v>
      </c>
      <c r="R17" s="230" t="s">
        <v>7</v>
      </c>
      <c r="S17" s="231" t="s">
        <v>116</v>
      </c>
      <c r="T17" s="230" t="s">
        <v>7</v>
      </c>
      <c r="U17" s="230" t="s">
        <v>7</v>
      </c>
      <c r="V17" s="230" t="s">
        <v>7</v>
      </c>
      <c r="W17" s="230" t="s">
        <v>7</v>
      </c>
      <c r="X17" s="230" t="s">
        <v>7</v>
      </c>
      <c r="Y17" s="230" t="s">
        <v>7</v>
      </c>
      <c r="Z17" s="231" t="s">
        <v>116</v>
      </c>
      <c r="AA17" s="229" t="s">
        <v>10</v>
      </c>
      <c r="AB17" s="229" t="s">
        <v>10</v>
      </c>
      <c r="AC17" s="229" t="s">
        <v>10</v>
      </c>
      <c r="AD17" s="229" t="s">
        <v>10</v>
      </c>
      <c r="AE17" s="229" t="s">
        <v>10</v>
      </c>
      <c r="AF17" s="231" t="s">
        <v>116</v>
      </c>
      <c r="AG17" s="229" t="s">
        <v>10</v>
      </c>
      <c r="AH17" s="229" t="s">
        <v>10</v>
      </c>
      <c r="AI17" s="232" t="s">
        <v>10</v>
      </c>
      <c r="AJ17" s="298"/>
    </row>
    <row r="18" spans="2:36" x14ac:dyDescent="0.2">
      <c r="B18" s="80">
        <v>7589910</v>
      </c>
      <c r="C18" s="81" t="s">
        <v>42</v>
      </c>
      <c r="D18" s="28" t="s">
        <v>43</v>
      </c>
      <c r="E18" s="28" t="s">
        <v>24</v>
      </c>
      <c r="F18" s="230" t="s">
        <v>7</v>
      </c>
      <c r="G18" s="230" t="s">
        <v>7</v>
      </c>
      <c r="H18" s="230" t="s">
        <v>7</v>
      </c>
      <c r="I18" s="230" t="s">
        <v>7</v>
      </c>
      <c r="J18" s="230" t="s">
        <v>7</v>
      </c>
      <c r="K18" s="230" t="s">
        <v>7</v>
      </c>
      <c r="L18" s="231" t="s">
        <v>116</v>
      </c>
      <c r="M18" s="230" t="s">
        <v>7</v>
      </c>
      <c r="N18" s="230" t="s">
        <v>7</v>
      </c>
      <c r="O18" s="230" t="s">
        <v>7</v>
      </c>
      <c r="P18" s="230" t="s">
        <v>7</v>
      </c>
      <c r="Q18" s="230" t="s">
        <v>7</v>
      </c>
      <c r="R18" s="230" t="s">
        <v>7</v>
      </c>
      <c r="S18" s="231" t="s">
        <v>116</v>
      </c>
      <c r="T18" s="229" t="s">
        <v>10</v>
      </c>
      <c r="U18" s="229" t="s">
        <v>10</v>
      </c>
      <c r="V18" s="229" t="s">
        <v>10</v>
      </c>
      <c r="W18" s="229" t="s">
        <v>10</v>
      </c>
      <c r="X18" s="229" t="s">
        <v>10</v>
      </c>
      <c r="Y18" s="229" t="s">
        <v>10</v>
      </c>
      <c r="Z18" s="231" t="s">
        <v>116</v>
      </c>
      <c r="AA18" s="230" t="s">
        <v>7</v>
      </c>
      <c r="AB18" s="230" t="s">
        <v>7</v>
      </c>
      <c r="AC18" s="230" t="s">
        <v>7</v>
      </c>
      <c r="AD18" s="230" t="s">
        <v>7</v>
      </c>
      <c r="AE18" s="230" t="s">
        <v>7</v>
      </c>
      <c r="AF18" s="231" t="s">
        <v>116</v>
      </c>
      <c r="AG18" s="230" t="s">
        <v>7</v>
      </c>
      <c r="AH18" s="230" t="s">
        <v>7</v>
      </c>
      <c r="AI18" s="236" t="s">
        <v>7</v>
      </c>
      <c r="AJ18" s="298"/>
    </row>
    <row r="19" spans="2:36" x14ac:dyDescent="0.2">
      <c r="B19" s="80">
        <v>7697747</v>
      </c>
      <c r="C19" s="81" t="s">
        <v>44</v>
      </c>
      <c r="D19" s="28" t="s">
        <v>118</v>
      </c>
      <c r="E19" s="28" t="s">
        <v>24</v>
      </c>
      <c r="F19" s="230" t="s">
        <v>7</v>
      </c>
      <c r="G19" s="230" t="s">
        <v>7</v>
      </c>
      <c r="H19" s="230" t="s">
        <v>7</v>
      </c>
      <c r="I19" s="230" t="s">
        <v>7</v>
      </c>
      <c r="J19" s="230" t="s">
        <v>7</v>
      </c>
      <c r="K19" s="230" t="s">
        <v>7</v>
      </c>
      <c r="L19" s="231" t="s">
        <v>116</v>
      </c>
      <c r="M19" s="230" t="s">
        <v>7</v>
      </c>
      <c r="N19" s="230" t="s">
        <v>7</v>
      </c>
      <c r="O19" s="230" t="s">
        <v>7</v>
      </c>
      <c r="P19" s="230" t="s">
        <v>7</v>
      </c>
      <c r="Q19" s="230" t="s">
        <v>7</v>
      </c>
      <c r="R19" s="230" t="s">
        <v>7</v>
      </c>
      <c r="S19" s="231" t="s">
        <v>116</v>
      </c>
      <c r="T19" s="230" t="s">
        <v>7</v>
      </c>
      <c r="U19" s="230" t="s">
        <v>7</v>
      </c>
      <c r="V19" s="230" t="s">
        <v>7</v>
      </c>
      <c r="W19" s="230" t="s">
        <v>7</v>
      </c>
      <c r="X19" s="230" t="s">
        <v>7</v>
      </c>
      <c r="Y19" s="230" t="s">
        <v>7</v>
      </c>
      <c r="Z19" s="231" t="s">
        <v>116</v>
      </c>
      <c r="AA19" s="229" t="s">
        <v>10</v>
      </c>
      <c r="AB19" s="229" t="s">
        <v>10</v>
      </c>
      <c r="AC19" s="229" t="s">
        <v>10</v>
      </c>
      <c r="AD19" s="229" t="s">
        <v>10</v>
      </c>
      <c r="AE19" s="229" t="s">
        <v>10</v>
      </c>
      <c r="AF19" s="231" t="s">
        <v>116</v>
      </c>
      <c r="AG19" s="229" t="s">
        <v>10</v>
      </c>
      <c r="AH19" s="229" t="s">
        <v>10</v>
      </c>
      <c r="AI19" s="232" t="s">
        <v>10</v>
      </c>
      <c r="AJ19" s="298"/>
    </row>
    <row r="20" spans="2:36" x14ac:dyDescent="0.2">
      <c r="B20" s="80">
        <v>7870420</v>
      </c>
      <c r="C20" s="81" t="s">
        <v>45</v>
      </c>
      <c r="D20" s="28" t="s">
        <v>46</v>
      </c>
      <c r="E20" s="28" t="s">
        <v>24</v>
      </c>
      <c r="F20" s="229" t="s">
        <v>10</v>
      </c>
      <c r="G20" s="229" t="s">
        <v>10</v>
      </c>
      <c r="H20" s="229" t="s">
        <v>10</v>
      </c>
      <c r="I20" s="229" t="s">
        <v>10</v>
      </c>
      <c r="J20" s="229" t="s">
        <v>10</v>
      </c>
      <c r="K20" s="229" t="s">
        <v>10</v>
      </c>
      <c r="L20" s="231" t="s">
        <v>116</v>
      </c>
      <c r="M20" s="230" t="s">
        <v>7</v>
      </c>
      <c r="N20" s="230" t="s">
        <v>7</v>
      </c>
      <c r="O20" s="230" t="s">
        <v>7</v>
      </c>
      <c r="P20" s="230" t="s">
        <v>7</v>
      </c>
      <c r="Q20" s="230" t="s">
        <v>7</v>
      </c>
      <c r="R20" s="230" t="s">
        <v>7</v>
      </c>
      <c r="S20" s="231" t="s">
        <v>116</v>
      </c>
      <c r="T20" s="230" t="s">
        <v>7</v>
      </c>
      <c r="U20" s="230" t="s">
        <v>7</v>
      </c>
      <c r="V20" s="230" t="s">
        <v>7</v>
      </c>
      <c r="W20" s="230" t="s">
        <v>7</v>
      </c>
      <c r="X20" s="230" t="s">
        <v>7</v>
      </c>
      <c r="Y20" s="230" t="s">
        <v>7</v>
      </c>
      <c r="Z20" s="231" t="s">
        <v>116</v>
      </c>
      <c r="AA20" s="229" t="s">
        <v>10</v>
      </c>
      <c r="AB20" s="229" t="s">
        <v>10</v>
      </c>
      <c r="AC20" s="229" t="s">
        <v>10</v>
      </c>
      <c r="AD20" s="229" t="s">
        <v>10</v>
      </c>
      <c r="AE20" s="229" t="s">
        <v>10</v>
      </c>
      <c r="AF20" s="231" t="s">
        <v>116</v>
      </c>
      <c r="AG20" s="230" t="s">
        <v>7</v>
      </c>
      <c r="AH20" s="230" t="s">
        <v>7</v>
      </c>
      <c r="AI20" s="236" t="s">
        <v>7</v>
      </c>
      <c r="AJ20" s="298"/>
    </row>
    <row r="21" spans="2:36" x14ac:dyDescent="0.2">
      <c r="B21" s="24">
        <v>7471068</v>
      </c>
      <c r="C21" s="25" t="s">
        <v>47</v>
      </c>
      <c r="D21" s="26" t="s">
        <v>48</v>
      </c>
      <c r="E21" s="26" t="s">
        <v>24</v>
      </c>
      <c r="F21" s="230" t="s">
        <v>7</v>
      </c>
      <c r="G21" s="230" t="s">
        <v>7</v>
      </c>
      <c r="H21" s="230" t="s">
        <v>7</v>
      </c>
      <c r="I21" s="230" t="s">
        <v>7</v>
      </c>
      <c r="J21" s="230" t="s">
        <v>7</v>
      </c>
      <c r="K21" s="230" t="s">
        <v>7</v>
      </c>
      <c r="L21" s="231" t="s">
        <v>116</v>
      </c>
      <c r="M21" s="230" t="s">
        <v>7</v>
      </c>
      <c r="N21" s="230" t="s">
        <v>7</v>
      </c>
      <c r="O21" s="230" t="s">
        <v>7</v>
      </c>
      <c r="P21" s="230" t="s">
        <v>7</v>
      </c>
      <c r="Q21" s="230" t="s">
        <v>7</v>
      </c>
      <c r="R21" s="230" t="s">
        <v>7</v>
      </c>
      <c r="S21" s="231" t="s">
        <v>116</v>
      </c>
      <c r="T21" s="229" t="s">
        <v>10</v>
      </c>
      <c r="U21" s="229" t="s">
        <v>10</v>
      </c>
      <c r="V21" s="229" t="s">
        <v>10</v>
      </c>
      <c r="W21" s="229" t="s">
        <v>10</v>
      </c>
      <c r="X21" s="229" t="s">
        <v>10</v>
      </c>
      <c r="Y21" s="229" t="s">
        <v>10</v>
      </c>
      <c r="Z21" s="231" t="s">
        <v>116</v>
      </c>
      <c r="AA21" s="230" t="s">
        <v>7</v>
      </c>
      <c r="AB21" s="230" t="s">
        <v>7</v>
      </c>
      <c r="AC21" s="230" t="s">
        <v>7</v>
      </c>
      <c r="AD21" s="230" t="s">
        <v>7</v>
      </c>
      <c r="AE21" s="230" t="s">
        <v>7</v>
      </c>
      <c r="AF21" s="231" t="s">
        <v>116</v>
      </c>
      <c r="AG21" s="230" t="s">
        <v>7</v>
      </c>
      <c r="AH21" s="230" t="s">
        <v>7</v>
      </c>
      <c r="AI21" s="236" t="s">
        <v>7</v>
      </c>
      <c r="AJ21" s="298"/>
    </row>
    <row r="22" spans="2:36" x14ac:dyDescent="0.2">
      <c r="B22" s="80">
        <v>7908832</v>
      </c>
      <c r="C22" s="81" t="s">
        <v>49</v>
      </c>
      <c r="D22" s="28" t="s">
        <v>50</v>
      </c>
      <c r="E22" s="28" t="s">
        <v>27</v>
      </c>
      <c r="F22" s="230" t="s">
        <v>7</v>
      </c>
      <c r="G22" s="230" t="s">
        <v>7</v>
      </c>
      <c r="H22" s="230" t="s">
        <v>7</v>
      </c>
      <c r="I22" s="230" t="s">
        <v>7</v>
      </c>
      <c r="J22" s="230" t="s">
        <v>7</v>
      </c>
      <c r="K22" s="230" t="s">
        <v>7</v>
      </c>
      <c r="L22" s="231" t="s">
        <v>116</v>
      </c>
      <c r="M22" s="230" t="s">
        <v>7</v>
      </c>
      <c r="N22" s="230" t="s">
        <v>7</v>
      </c>
      <c r="O22" s="230" t="s">
        <v>7</v>
      </c>
      <c r="P22" s="230" t="s">
        <v>7</v>
      </c>
      <c r="Q22" s="230" t="s">
        <v>7</v>
      </c>
      <c r="R22" s="230" t="s">
        <v>7</v>
      </c>
      <c r="S22" s="231" t="s">
        <v>116</v>
      </c>
      <c r="T22" s="229" t="s">
        <v>10</v>
      </c>
      <c r="U22" s="229" t="s">
        <v>10</v>
      </c>
      <c r="V22" s="229" t="s">
        <v>10</v>
      </c>
      <c r="W22" s="229" t="s">
        <v>10</v>
      </c>
      <c r="X22" s="229" t="s">
        <v>10</v>
      </c>
      <c r="Y22" s="229" t="s">
        <v>10</v>
      </c>
      <c r="Z22" s="231" t="s">
        <v>116</v>
      </c>
      <c r="AA22" s="230" t="s">
        <v>7</v>
      </c>
      <c r="AB22" s="230" t="s">
        <v>7</v>
      </c>
      <c r="AC22" s="230" t="s">
        <v>7</v>
      </c>
      <c r="AD22" s="230" t="s">
        <v>7</v>
      </c>
      <c r="AE22" s="230" t="s">
        <v>7</v>
      </c>
      <c r="AF22" s="231" t="s">
        <v>116</v>
      </c>
      <c r="AG22" s="230" t="s">
        <v>7</v>
      </c>
      <c r="AH22" s="230" t="s">
        <v>7</v>
      </c>
      <c r="AI22" s="236" t="s">
        <v>7</v>
      </c>
      <c r="AJ22" s="298"/>
    </row>
    <row r="23" spans="2:36" ht="15" thickBot="1" x14ac:dyDescent="0.25">
      <c r="B23" s="68">
        <v>7897545</v>
      </c>
      <c r="C23" s="69" t="s">
        <v>51</v>
      </c>
      <c r="D23" s="29" t="s">
        <v>52</v>
      </c>
      <c r="E23" s="29" t="s">
        <v>24</v>
      </c>
      <c r="F23" s="246"/>
      <c r="G23" s="246"/>
      <c r="H23" s="246"/>
      <c r="I23" s="246"/>
      <c r="J23" s="246"/>
      <c r="K23" s="246"/>
      <c r="L23" s="247"/>
      <c r="M23" s="246"/>
      <c r="N23" s="246"/>
      <c r="O23" s="246"/>
      <c r="P23" s="246"/>
      <c r="Q23" s="246"/>
      <c r="R23" s="246"/>
      <c r="S23" s="247"/>
      <c r="T23" s="233"/>
      <c r="U23" s="246"/>
      <c r="V23" s="246"/>
      <c r="W23" s="246"/>
      <c r="X23" s="246"/>
      <c r="Y23" s="246"/>
      <c r="Z23" s="247"/>
      <c r="AA23" s="246"/>
      <c r="AB23" s="246"/>
      <c r="AC23" s="246"/>
      <c r="AD23" s="246"/>
      <c r="AE23" s="246"/>
      <c r="AF23" s="247"/>
      <c r="AG23" s="246"/>
      <c r="AH23" s="246"/>
      <c r="AI23" s="248"/>
      <c r="AJ23" s="299"/>
    </row>
    <row r="24" spans="2:36" x14ac:dyDescent="0.2">
      <c r="B24" s="82">
        <v>5956003</v>
      </c>
      <c r="C24" s="83" t="s">
        <v>53</v>
      </c>
      <c r="D24" s="30" t="s">
        <v>54</v>
      </c>
      <c r="E24" s="30" t="s">
        <v>24</v>
      </c>
      <c r="F24" s="239" t="s">
        <v>116</v>
      </c>
      <c r="G24" s="249" t="s">
        <v>22</v>
      </c>
      <c r="H24" s="249" t="s">
        <v>22</v>
      </c>
      <c r="I24" s="249" t="s">
        <v>22</v>
      </c>
      <c r="J24" s="249" t="s">
        <v>22</v>
      </c>
      <c r="K24" s="249" t="s">
        <v>22</v>
      </c>
      <c r="L24" s="249" t="s">
        <v>22</v>
      </c>
      <c r="M24" s="239" t="s">
        <v>116</v>
      </c>
      <c r="N24" s="250" t="s">
        <v>10</v>
      </c>
      <c r="O24" s="250" t="s">
        <v>10</v>
      </c>
      <c r="P24" s="250" t="s">
        <v>10</v>
      </c>
      <c r="Q24" s="250" t="s">
        <v>10</v>
      </c>
      <c r="R24" s="250" t="s">
        <v>10</v>
      </c>
      <c r="S24" s="250" t="s">
        <v>10</v>
      </c>
      <c r="T24" s="239" t="s">
        <v>116</v>
      </c>
      <c r="U24" s="251" t="s">
        <v>7</v>
      </c>
      <c r="V24" s="251" t="s">
        <v>7</v>
      </c>
      <c r="W24" s="251" t="s">
        <v>7</v>
      </c>
      <c r="X24" s="251" t="s">
        <v>7</v>
      </c>
      <c r="Y24" s="251" t="s">
        <v>7</v>
      </c>
      <c r="Z24" s="251" t="s">
        <v>7</v>
      </c>
      <c r="AA24" s="239" t="s">
        <v>116</v>
      </c>
      <c r="AB24" s="251" t="s">
        <v>7</v>
      </c>
      <c r="AC24" s="251" t="s">
        <v>7</v>
      </c>
      <c r="AD24" s="251" t="s">
        <v>7</v>
      </c>
      <c r="AE24" s="251" t="s">
        <v>7</v>
      </c>
      <c r="AF24" s="251" t="s">
        <v>7</v>
      </c>
      <c r="AG24" s="239" t="s">
        <v>116</v>
      </c>
      <c r="AH24" s="250" t="s">
        <v>10</v>
      </c>
      <c r="AI24" s="252" t="s">
        <v>10</v>
      </c>
      <c r="AJ24" s="300"/>
    </row>
    <row r="25" spans="2:36" x14ac:dyDescent="0.2">
      <c r="B25" s="31">
        <v>7815844</v>
      </c>
      <c r="C25" s="32" t="s">
        <v>55</v>
      </c>
      <c r="D25" s="33" t="s">
        <v>56</v>
      </c>
      <c r="E25" s="33" t="s">
        <v>24</v>
      </c>
      <c r="F25" s="231" t="s">
        <v>116</v>
      </c>
      <c r="G25" s="251" t="s">
        <v>7</v>
      </c>
      <c r="H25" s="251" t="s">
        <v>7</v>
      </c>
      <c r="I25" s="251" t="s">
        <v>7</v>
      </c>
      <c r="J25" s="251" t="s">
        <v>7</v>
      </c>
      <c r="K25" s="251" t="s">
        <v>7</v>
      </c>
      <c r="L25" s="251" t="s">
        <v>7</v>
      </c>
      <c r="M25" s="231" t="s">
        <v>116</v>
      </c>
      <c r="N25" s="251" t="s">
        <v>7</v>
      </c>
      <c r="O25" s="251" t="s">
        <v>7</v>
      </c>
      <c r="P25" s="251" t="s">
        <v>7</v>
      </c>
      <c r="Q25" s="251" t="s">
        <v>7</v>
      </c>
      <c r="R25" s="251" t="s">
        <v>7</v>
      </c>
      <c r="S25" s="251" t="s">
        <v>7</v>
      </c>
      <c r="T25" s="231" t="s">
        <v>116</v>
      </c>
      <c r="U25" s="207" t="s">
        <v>22</v>
      </c>
      <c r="V25" s="207" t="s">
        <v>22</v>
      </c>
      <c r="W25" s="207" t="s">
        <v>22</v>
      </c>
      <c r="X25" s="207" t="s">
        <v>22</v>
      </c>
      <c r="Y25" s="207" t="s">
        <v>22</v>
      </c>
      <c r="Z25" s="207" t="s">
        <v>22</v>
      </c>
      <c r="AA25" s="231" t="s">
        <v>116</v>
      </c>
      <c r="AB25" s="253" t="s">
        <v>7</v>
      </c>
      <c r="AC25" s="253" t="s">
        <v>7</v>
      </c>
      <c r="AD25" s="253" t="s">
        <v>7</v>
      </c>
      <c r="AE25" s="253" t="s">
        <v>7</v>
      </c>
      <c r="AF25" s="253" t="s">
        <v>7</v>
      </c>
      <c r="AG25" s="231" t="s">
        <v>116</v>
      </c>
      <c r="AH25" s="230" t="s">
        <v>7</v>
      </c>
      <c r="AI25" s="236" t="s">
        <v>7</v>
      </c>
      <c r="AJ25" s="301"/>
    </row>
    <row r="26" spans="2:36" x14ac:dyDescent="0.2">
      <c r="B26" s="31">
        <v>5012880</v>
      </c>
      <c r="C26" s="32" t="s">
        <v>57</v>
      </c>
      <c r="D26" s="33" t="s">
        <v>58</v>
      </c>
      <c r="E26" s="33" t="s">
        <v>24</v>
      </c>
      <c r="F26" s="231" t="s">
        <v>116</v>
      </c>
      <c r="G26" s="229" t="s">
        <v>10</v>
      </c>
      <c r="H26" s="229" t="s">
        <v>10</v>
      </c>
      <c r="I26" s="229" t="s">
        <v>10</v>
      </c>
      <c r="J26" s="229" t="s">
        <v>10</v>
      </c>
      <c r="K26" s="229" t="s">
        <v>10</v>
      </c>
      <c r="L26" s="229" t="s">
        <v>10</v>
      </c>
      <c r="M26" s="231" t="s">
        <v>116</v>
      </c>
      <c r="N26" s="207" t="s">
        <v>22</v>
      </c>
      <c r="O26" s="207" t="s">
        <v>22</v>
      </c>
      <c r="P26" s="207" t="s">
        <v>22</v>
      </c>
      <c r="Q26" s="207" t="s">
        <v>22</v>
      </c>
      <c r="R26" s="207" t="s">
        <v>22</v>
      </c>
      <c r="S26" s="207" t="s">
        <v>22</v>
      </c>
      <c r="T26" s="231" t="s">
        <v>116</v>
      </c>
      <c r="U26" s="251" t="s">
        <v>7</v>
      </c>
      <c r="V26" s="251" t="s">
        <v>7</v>
      </c>
      <c r="W26" s="251" t="s">
        <v>7</v>
      </c>
      <c r="X26" s="251" t="s">
        <v>7</v>
      </c>
      <c r="Y26" s="251" t="s">
        <v>7</v>
      </c>
      <c r="Z26" s="251" t="s">
        <v>7</v>
      </c>
      <c r="AA26" s="231" t="s">
        <v>116</v>
      </c>
      <c r="AB26" s="251" t="s">
        <v>7</v>
      </c>
      <c r="AC26" s="251" t="s">
        <v>7</v>
      </c>
      <c r="AD26" s="251" t="s">
        <v>7</v>
      </c>
      <c r="AE26" s="251" t="s">
        <v>7</v>
      </c>
      <c r="AF26" s="251" t="s">
        <v>7</v>
      </c>
      <c r="AG26" s="231" t="s">
        <v>116</v>
      </c>
      <c r="AH26" s="229" t="s">
        <v>10</v>
      </c>
      <c r="AI26" s="232" t="s">
        <v>10</v>
      </c>
      <c r="AJ26" s="276"/>
    </row>
    <row r="27" spans="2:36" x14ac:dyDescent="0.2">
      <c r="B27" s="31">
        <v>7743929</v>
      </c>
      <c r="C27" s="32" t="s">
        <v>59</v>
      </c>
      <c r="D27" s="33" t="s">
        <v>60</v>
      </c>
      <c r="E27" s="33" t="s">
        <v>24</v>
      </c>
      <c r="F27" s="231" t="s">
        <v>116</v>
      </c>
      <c r="G27" s="251" t="s">
        <v>7</v>
      </c>
      <c r="H27" s="251" t="s">
        <v>7</v>
      </c>
      <c r="I27" s="251" t="s">
        <v>7</v>
      </c>
      <c r="J27" s="251" t="s">
        <v>7</v>
      </c>
      <c r="K27" s="251" t="s">
        <v>7</v>
      </c>
      <c r="L27" s="251" t="s">
        <v>7</v>
      </c>
      <c r="M27" s="231" t="s">
        <v>116</v>
      </c>
      <c r="N27" s="229" t="s">
        <v>10</v>
      </c>
      <c r="O27" s="229" t="s">
        <v>10</v>
      </c>
      <c r="P27" s="229" t="s">
        <v>10</v>
      </c>
      <c r="Q27" s="229" t="s">
        <v>10</v>
      </c>
      <c r="R27" s="229" t="s">
        <v>10</v>
      </c>
      <c r="S27" s="229" t="s">
        <v>10</v>
      </c>
      <c r="T27" s="231" t="s">
        <v>116</v>
      </c>
      <c r="U27" s="251" t="s">
        <v>7</v>
      </c>
      <c r="V27" s="251" t="s">
        <v>7</v>
      </c>
      <c r="W27" s="251" t="s">
        <v>7</v>
      </c>
      <c r="X27" s="251" t="s">
        <v>7</v>
      </c>
      <c r="Y27" s="251" t="s">
        <v>7</v>
      </c>
      <c r="Z27" s="251" t="s">
        <v>7</v>
      </c>
      <c r="AA27" s="231" t="s">
        <v>116</v>
      </c>
      <c r="AB27" s="254" t="s">
        <v>7</v>
      </c>
      <c r="AC27" s="254" t="s">
        <v>7</v>
      </c>
      <c r="AD27" s="254" t="s">
        <v>7</v>
      </c>
      <c r="AE27" s="254" t="s">
        <v>7</v>
      </c>
      <c r="AF27" s="251" t="s">
        <v>7</v>
      </c>
      <c r="AG27" s="231" t="s">
        <v>116</v>
      </c>
      <c r="AH27" s="251" t="s">
        <v>7</v>
      </c>
      <c r="AI27" s="236" t="s">
        <v>7</v>
      </c>
      <c r="AJ27" s="302"/>
    </row>
    <row r="28" spans="2:36" x14ac:dyDescent="0.2">
      <c r="B28" s="31">
        <v>7804315</v>
      </c>
      <c r="C28" s="32" t="s">
        <v>61</v>
      </c>
      <c r="D28" s="33" t="s">
        <v>62</v>
      </c>
      <c r="E28" s="33" t="s">
        <v>27</v>
      </c>
      <c r="F28" s="231" t="s">
        <v>116</v>
      </c>
      <c r="G28" s="251" t="s">
        <v>7</v>
      </c>
      <c r="H28" s="251" t="s">
        <v>7</v>
      </c>
      <c r="I28" s="251" t="s">
        <v>7</v>
      </c>
      <c r="J28" s="251" t="s">
        <v>7</v>
      </c>
      <c r="K28" s="251" t="s">
        <v>7</v>
      </c>
      <c r="L28" s="251" t="s">
        <v>7</v>
      </c>
      <c r="M28" s="231" t="s">
        <v>116</v>
      </c>
      <c r="N28" s="251" t="s">
        <v>7</v>
      </c>
      <c r="O28" s="251" t="s">
        <v>7</v>
      </c>
      <c r="P28" s="251" t="s">
        <v>7</v>
      </c>
      <c r="Q28" s="251" t="s">
        <v>7</v>
      </c>
      <c r="R28" s="251" t="s">
        <v>7</v>
      </c>
      <c r="S28" s="251" t="s">
        <v>7</v>
      </c>
      <c r="T28" s="231" t="s">
        <v>116</v>
      </c>
      <c r="U28" s="229" t="s">
        <v>10</v>
      </c>
      <c r="V28" s="229" t="s">
        <v>10</v>
      </c>
      <c r="W28" s="229" t="s">
        <v>10</v>
      </c>
      <c r="X28" s="229" t="s">
        <v>10</v>
      </c>
      <c r="Y28" s="229" t="s">
        <v>10</v>
      </c>
      <c r="Z28" s="229" t="s">
        <v>10</v>
      </c>
      <c r="AA28" s="231" t="s">
        <v>116</v>
      </c>
      <c r="AB28" s="255" t="s">
        <v>7</v>
      </c>
      <c r="AC28" s="255" t="s">
        <v>7</v>
      </c>
      <c r="AD28" s="255" t="s">
        <v>7</v>
      </c>
      <c r="AE28" s="255" t="s">
        <v>7</v>
      </c>
      <c r="AF28" s="255" t="s">
        <v>7</v>
      </c>
      <c r="AG28" s="235" t="s">
        <v>116</v>
      </c>
      <c r="AH28" s="251" t="s">
        <v>7</v>
      </c>
      <c r="AI28" s="236" t="s">
        <v>7</v>
      </c>
      <c r="AJ28" s="290"/>
    </row>
    <row r="29" spans="2:36" x14ac:dyDescent="0.2">
      <c r="B29" s="31">
        <v>7804355</v>
      </c>
      <c r="C29" s="32" t="s">
        <v>63</v>
      </c>
      <c r="D29" s="33" t="s">
        <v>64</v>
      </c>
      <c r="E29" s="33" t="s">
        <v>24</v>
      </c>
      <c r="F29" s="231" t="s">
        <v>116</v>
      </c>
      <c r="G29" s="251" t="s">
        <v>7</v>
      </c>
      <c r="H29" s="251" t="s">
        <v>7</v>
      </c>
      <c r="I29" s="251" t="s">
        <v>7</v>
      </c>
      <c r="J29" s="251" t="s">
        <v>7</v>
      </c>
      <c r="K29" s="251" t="s">
        <v>7</v>
      </c>
      <c r="L29" s="251" t="s">
        <v>7</v>
      </c>
      <c r="M29" s="231" t="s">
        <v>116</v>
      </c>
      <c r="N29" s="253" t="s">
        <v>7</v>
      </c>
      <c r="O29" s="253" t="s">
        <v>7</v>
      </c>
      <c r="P29" s="253" t="s">
        <v>7</v>
      </c>
      <c r="Q29" s="253" t="s">
        <v>7</v>
      </c>
      <c r="R29" s="253" t="s">
        <v>7</v>
      </c>
      <c r="S29" s="253" t="s">
        <v>7</v>
      </c>
      <c r="T29" s="231" t="s">
        <v>116</v>
      </c>
      <c r="U29" s="251" t="s">
        <v>7</v>
      </c>
      <c r="V29" s="251" t="s">
        <v>7</v>
      </c>
      <c r="W29" s="251" t="s">
        <v>7</v>
      </c>
      <c r="X29" s="251" t="s">
        <v>7</v>
      </c>
      <c r="Y29" s="251" t="s">
        <v>7</v>
      </c>
      <c r="Z29" s="251" t="s">
        <v>7</v>
      </c>
      <c r="AA29" s="231" t="s">
        <v>116</v>
      </c>
      <c r="AB29" s="229" t="s">
        <v>10</v>
      </c>
      <c r="AC29" s="229" t="s">
        <v>10</v>
      </c>
      <c r="AD29" s="229" t="s">
        <v>10</v>
      </c>
      <c r="AE29" s="229" t="s">
        <v>10</v>
      </c>
      <c r="AF29" s="229" t="s">
        <v>10</v>
      </c>
      <c r="AG29" s="235" t="s">
        <v>116</v>
      </c>
      <c r="AH29" s="251" t="s">
        <v>7</v>
      </c>
      <c r="AI29" s="236" t="s">
        <v>7</v>
      </c>
      <c r="AJ29" s="303"/>
    </row>
    <row r="30" spans="2:36" x14ac:dyDescent="0.2">
      <c r="B30" s="31">
        <v>5828232</v>
      </c>
      <c r="C30" s="32" t="s">
        <v>65</v>
      </c>
      <c r="D30" s="33" t="s">
        <v>66</v>
      </c>
      <c r="E30" s="33" t="s">
        <v>24</v>
      </c>
      <c r="F30" s="231" t="s">
        <v>116</v>
      </c>
      <c r="G30" s="229" t="s">
        <v>10</v>
      </c>
      <c r="H30" s="229" t="s">
        <v>10</v>
      </c>
      <c r="I30" s="229" t="s">
        <v>10</v>
      </c>
      <c r="J30" s="229" t="s">
        <v>10</v>
      </c>
      <c r="K30" s="229" t="s">
        <v>10</v>
      </c>
      <c r="L30" s="229" t="s">
        <v>10</v>
      </c>
      <c r="M30" s="231" t="s">
        <v>116</v>
      </c>
      <c r="N30" s="207" t="s">
        <v>22</v>
      </c>
      <c r="O30" s="207" t="s">
        <v>22</v>
      </c>
      <c r="P30" s="207" t="s">
        <v>22</v>
      </c>
      <c r="Q30" s="207" t="s">
        <v>22</v>
      </c>
      <c r="R30" s="207" t="s">
        <v>22</v>
      </c>
      <c r="S30" s="207" t="s">
        <v>22</v>
      </c>
      <c r="T30" s="231" t="s">
        <v>116</v>
      </c>
      <c r="U30" s="229" t="s">
        <v>10</v>
      </c>
      <c r="V30" s="229" t="s">
        <v>10</v>
      </c>
      <c r="W30" s="229" t="s">
        <v>10</v>
      </c>
      <c r="X30" s="229" t="s">
        <v>10</v>
      </c>
      <c r="Y30" s="229" t="s">
        <v>10</v>
      </c>
      <c r="Z30" s="229" t="s">
        <v>10</v>
      </c>
      <c r="AA30" s="231" t="s">
        <v>116</v>
      </c>
      <c r="AB30" s="207" t="s">
        <v>22</v>
      </c>
      <c r="AC30" s="207" t="s">
        <v>22</v>
      </c>
      <c r="AD30" s="207" t="s">
        <v>22</v>
      </c>
      <c r="AE30" s="207" t="s">
        <v>22</v>
      </c>
      <c r="AF30" s="207" t="s">
        <v>22</v>
      </c>
      <c r="AG30" s="235" t="s">
        <v>116</v>
      </c>
      <c r="AH30" s="229" t="s">
        <v>10</v>
      </c>
      <c r="AI30" s="232" t="s">
        <v>10</v>
      </c>
      <c r="AJ30" s="292"/>
    </row>
    <row r="31" spans="2:36" ht="15" thickBot="1" x14ac:dyDescent="0.25">
      <c r="B31" s="34">
        <v>7904754</v>
      </c>
      <c r="C31" s="35" t="s">
        <v>67</v>
      </c>
      <c r="D31" s="36" t="s">
        <v>68</v>
      </c>
      <c r="E31" s="36" t="s">
        <v>24</v>
      </c>
      <c r="F31" s="231" t="s">
        <v>116</v>
      </c>
      <c r="G31" s="245" t="s">
        <v>7</v>
      </c>
      <c r="H31" s="245" t="s">
        <v>7</v>
      </c>
      <c r="I31" s="245" t="s">
        <v>7</v>
      </c>
      <c r="J31" s="245" t="s">
        <v>7</v>
      </c>
      <c r="K31" s="245" t="s">
        <v>7</v>
      </c>
      <c r="L31" s="245" t="s">
        <v>7</v>
      </c>
      <c r="M31" s="231" t="s">
        <v>116</v>
      </c>
      <c r="N31" s="245" t="s">
        <v>7</v>
      </c>
      <c r="O31" s="256" t="s">
        <v>7</v>
      </c>
      <c r="P31" s="245" t="s">
        <v>7</v>
      </c>
      <c r="Q31" s="245" t="s">
        <v>7</v>
      </c>
      <c r="R31" s="245" t="s">
        <v>7</v>
      </c>
      <c r="S31" s="245" t="s">
        <v>7</v>
      </c>
      <c r="T31" s="231" t="s">
        <v>116</v>
      </c>
      <c r="U31" s="237" t="s">
        <v>22</v>
      </c>
      <c r="V31" s="237" t="s">
        <v>22</v>
      </c>
      <c r="W31" s="237" t="s">
        <v>22</v>
      </c>
      <c r="X31" s="237" t="s">
        <v>22</v>
      </c>
      <c r="Y31" s="237" t="s">
        <v>22</v>
      </c>
      <c r="Z31" s="237" t="s">
        <v>22</v>
      </c>
      <c r="AA31" s="231" t="s">
        <v>116</v>
      </c>
      <c r="AB31" s="245" t="s">
        <v>7</v>
      </c>
      <c r="AC31" s="245" t="s">
        <v>7</v>
      </c>
      <c r="AD31" s="245" t="s">
        <v>7</v>
      </c>
      <c r="AE31" s="245" t="s">
        <v>7</v>
      </c>
      <c r="AF31" s="245" t="s">
        <v>7</v>
      </c>
      <c r="AG31" s="231" t="s">
        <v>116</v>
      </c>
      <c r="AH31" s="245" t="s">
        <v>7</v>
      </c>
      <c r="AI31" s="257" t="s">
        <v>7</v>
      </c>
      <c r="AJ31" s="304"/>
    </row>
    <row r="32" spans="2:36" x14ac:dyDescent="0.2">
      <c r="B32" s="124" t="s">
        <v>69</v>
      </c>
      <c r="C32" s="125" t="s">
        <v>70</v>
      </c>
      <c r="D32" s="126" t="s">
        <v>71</v>
      </c>
      <c r="E32" s="37" t="s">
        <v>24</v>
      </c>
      <c r="F32" s="258" t="s">
        <v>7</v>
      </c>
      <c r="G32" s="224" t="s">
        <v>116</v>
      </c>
      <c r="H32" s="226" t="s">
        <v>10</v>
      </c>
      <c r="I32" s="226" t="s">
        <v>10</v>
      </c>
      <c r="J32" s="226" t="s">
        <v>10</v>
      </c>
      <c r="K32" s="226" t="s">
        <v>10</v>
      </c>
      <c r="L32" s="226" t="s">
        <v>10</v>
      </c>
      <c r="M32" s="226" t="s">
        <v>10</v>
      </c>
      <c r="N32" s="224" t="s">
        <v>116</v>
      </c>
      <c r="O32" s="259" t="s">
        <v>120</v>
      </c>
      <c r="P32" s="225" t="s">
        <v>7</v>
      </c>
      <c r="Q32" s="225" t="s">
        <v>7</v>
      </c>
      <c r="R32" s="225" t="s">
        <v>7</v>
      </c>
      <c r="S32" s="225" t="s">
        <v>7</v>
      </c>
      <c r="T32" s="225" t="s">
        <v>7</v>
      </c>
      <c r="U32" s="224" t="s">
        <v>116</v>
      </c>
      <c r="V32" s="225" t="s">
        <v>7</v>
      </c>
      <c r="W32" s="225" t="s">
        <v>7</v>
      </c>
      <c r="X32" s="225" t="s">
        <v>7</v>
      </c>
      <c r="Y32" s="225" t="s">
        <v>7</v>
      </c>
      <c r="Z32" s="225" t="s">
        <v>7</v>
      </c>
      <c r="AA32" s="225" t="s">
        <v>7</v>
      </c>
      <c r="AB32" s="224" t="s">
        <v>116</v>
      </c>
      <c r="AC32" s="225" t="s">
        <v>7</v>
      </c>
      <c r="AD32" s="225" t="s">
        <v>7</v>
      </c>
      <c r="AE32" s="225" t="s">
        <v>7</v>
      </c>
      <c r="AF32" s="225" t="s">
        <v>7</v>
      </c>
      <c r="AG32" s="225" t="s">
        <v>7</v>
      </c>
      <c r="AH32" s="224" t="s">
        <v>116</v>
      </c>
      <c r="AI32" s="225" t="s">
        <v>7</v>
      </c>
      <c r="AJ32" s="300"/>
    </row>
    <row r="33" spans="2:36" x14ac:dyDescent="0.2">
      <c r="B33" s="127">
        <v>7828242</v>
      </c>
      <c r="C33" s="128" t="s">
        <v>72</v>
      </c>
      <c r="D33" s="129" t="s">
        <v>73</v>
      </c>
      <c r="E33" s="22" t="s">
        <v>24</v>
      </c>
      <c r="F33" s="260" t="s">
        <v>7</v>
      </c>
      <c r="G33" s="231" t="s">
        <v>116</v>
      </c>
      <c r="H33" s="230" t="s">
        <v>7</v>
      </c>
      <c r="I33" s="230" t="s">
        <v>7</v>
      </c>
      <c r="J33" s="230" t="s">
        <v>7</v>
      </c>
      <c r="K33" s="230" t="s">
        <v>7</v>
      </c>
      <c r="L33" s="230" t="s">
        <v>7</v>
      </c>
      <c r="M33" s="230" t="s">
        <v>7</v>
      </c>
      <c r="N33" s="231" t="s">
        <v>116</v>
      </c>
      <c r="O33" s="229" t="s">
        <v>10</v>
      </c>
      <c r="P33" s="229" t="s">
        <v>10</v>
      </c>
      <c r="Q33" s="229" t="s">
        <v>10</v>
      </c>
      <c r="R33" s="229" t="s">
        <v>10</v>
      </c>
      <c r="S33" s="229" t="s">
        <v>10</v>
      </c>
      <c r="T33" s="229" t="s">
        <v>10</v>
      </c>
      <c r="U33" s="231" t="s">
        <v>116</v>
      </c>
      <c r="V33" s="229" t="s">
        <v>10</v>
      </c>
      <c r="W33" s="229" t="s">
        <v>10</v>
      </c>
      <c r="X33" s="229" t="s">
        <v>10</v>
      </c>
      <c r="Y33" s="229" t="s">
        <v>10</v>
      </c>
      <c r="Z33" s="229" t="s">
        <v>10</v>
      </c>
      <c r="AA33" s="229" t="s">
        <v>10</v>
      </c>
      <c r="AB33" s="231" t="s">
        <v>116</v>
      </c>
      <c r="AC33" s="230" t="s">
        <v>7</v>
      </c>
      <c r="AD33" s="230" t="s">
        <v>7</v>
      </c>
      <c r="AE33" s="230" t="s">
        <v>7</v>
      </c>
      <c r="AF33" s="230" t="s">
        <v>7</v>
      </c>
      <c r="AG33" s="230" t="s">
        <v>7</v>
      </c>
      <c r="AH33" s="231" t="s">
        <v>116</v>
      </c>
      <c r="AI33" s="236" t="s">
        <v>7</v>
      </c>
      <c r="AJ33" s="283"/>
    </row>
    <row r="34" spans="2:36" x14ac:dyDescent="0.2">
      <c r="B34" s="84">
        <v>6227745</v>
      </c>
      <c r="C34" s="85" t="s">
        <v>74</v>
      </c>
      <c r="D34" s="86" t="s">
        <v>75</v>
      </c>
      <c r="E34" s="22" t="s">
        <v>24</v>
      </c>
      <c r="F34" s="207" t="s">
        <v>22</v>
      </c>
      <c r="G34" s="231" t="s">
        <v>116</v>
      </c>
      <c r="H34" s="230" t="s">
        <v>7</v>
      </c>
      <c r="I34" s="230" t="s">
        <v>7</v>
      </c>
      <c r="J34" s="230" t="s">
        <v>7</v>
      </c>
      <c r="K34" s="230" t="s">
        <v>7</v>
      </c>
      <c r="L34" s="230" t="s">
        <v>7</v>
      </c>
      <c r="M34" s="230" t="s">
        <v>7</v>
      </c>
      <c r="N34" s="231" t="s">
        <v>116</v>
      </c>
      <c r="O34" s="237" t="s">
        <v>22</v>
      </c>
      <c r="P34" s="237" t="s">
        <v>22</v>
      </c>
      <c r="Q34" s="237" t="s">
        <v>22</v>
      </c>
      <c r="R34" s="237" t="s">
        <v>22</v>
      </c>
      <c r="S34" s="237" t="s">
        <v>22</v>
      </c>
      <c r="T34" s="237" t="s">
        <v>22</v>
      </c>
      <c r="U34" s="231" t="s">
        <v>116</v>
      </c>
      <c r="V34" s="229" t="s">
        <v>10</v>
      </c>
      <c r="W34" s="229" t="s">
        <v>10</v>
      </c>
      <c r="X34" s="229" t="s">
        <v>10</v>
      </c>
      <c r="Y34" s="229" t="s">
        <v>10</v>
      </c>
      <c r="Z34" s="229" t="s">
        <v>10</v>
      </c>
      <c r="AA34" s="229" t="s">
        <v>10</v>
      </c>
      <c r="AB34" s="231" t="s">
        <v>116</v>
      </c>
      <c r="AC34" s="230" t="s">
        <v>7</v>
      </c>
      <c r="AD34" s="230" t="s">
        <v>7</v>
      </c>
      <c r="AE34" s="230" t="s">
        <v>7</v>
      </c>
      <c r="AF34" s="230" t="s">
        <v>7</v>
      </c>
      <c r="AG34" s="230" t="s">
        <v>7</v>
      </c>
      <c r="AH34" s="231" t="s">
        <v>116</v>
      </c>
      <c r="AI34" s="257" t="s">
        <v>7</v>
      </c>
      <c r="AJ34" s="294"/>
    </row>
    <row r="35" spans="2:36" x14ac:dyDescent="0.2">
      <c r="B35" s="130">
        <v>7730037</v>
      </c>
      <c r="C35" s="131" t="s">
        <v>76</v>
      </c>
      <c r="D35" s="132" t="s">
        <v>77</v>
      </c>
      <c r="E35" s="133" t="s">
        <v>27</v>
      </c>
      <c r="F35" s="214" t="s">
        <v>7</v>
      </c>
      <c r="G35" s="231" t="s">
        <v>116</v>
      </c>
      <c r="H35" s="214" t="s">
        <v>7</v>
      </c>
      <c r="I35" s="214" t="s">
        <v>7</v>
      </c>
      <c r="J35" s="214" t="s">
        <v>7</v>
      </c>
      <c r="K35" s="214" t="s">
        <v>7</v>
      </c>
      <c r="L35" s="214" t="s">
        <v>7</v>
      </c>
      <c r="M35" s="214" t="s">
        <v>7</v>
      </c>
      <c r="N35" s="231" t="s">
        <v>116</v>
      </c>
      <c r="O35" s="229" t="s">
        <v>10</v>
      </c>
      <c r="P35" s="229" t="s">
        <v>10</v>
      </c>
      <c r="Q35" s="229" t="s">
        <v>10</v>
      </c>
      <c r="R35" s="229" t="s">
        <v>10</v>
      </c>
      <c r="S35" s="229" t="s">
        <v>10</v>
      </c>
      <c r="T35" s="229" t="s">
        <v>10</v>
      </c>
      <c r="U35" s="235" t="s">
        <v>116</v>
      </c>
      <c r="V35" s="229" t="s">
        <v>10</v>
      </c>
      <c r="W35" s="229" t="s">
        <v>10</v>
      </c>
      <c r="X35" s="229" t="s">
        <v>10</v>
      </c>
      <c r="Y35" s="229" t="s">
        <v>10</v>
      </c>
      <c r="Z35" s="229" t="s">
        <v>10</v>
      </c>
      <c r="AA35" s="229" t="s">
        <v>10</v>
      </c>
      <c r="AB35" s="231" t="s">
        <v>116</v>
      </c>
      <c r="AC35" s="229" t="s">
        <v>10</v>
      </c>
      <c r="AD35" s="229" t="s">
        <v>10</v>
      </c>
      <c r="AE35" s="229" t="s">
        <v>10</v>
      </c>
      <c r="AF35" s="229" t="s">
        <v>10</v>
      </c>
      <c r="AG35" s="228" t="s">
        <v>10</v>
      </c>
      <c r="AH35" s="206" t="s">
        <v>116</v>
      </c>
      <c r="AI35" s="236" t="s">
        <v>7</v>
      </c>
      <c r="AJ35" s="290"/>
    </row>
    <row r="36" spans="2:36" x14ac:dyDescent="0.2">
      <c r="B36" s="127">
        <v>7804271</v>
      </c>
      <c r="C36" s="128" t="s">
        <v>78</v>
      </c>
      <c r="D36" s="129" t="s">
        <v>79</v>
      </c>
      <c r="E36" s="22" t="s">
        <v>27</v>
      </c>
      <c r="F36" s="229" t="s">
        <v>10</v>
      </c>
      <c r="G36" s="231" t="s">
        <v>116</v>
      </c>
      <c r="H36" s="230" t="s">
        <v>7</v>
      </c>
      <c r="I36" s="230" t="s">
        <v>7</v>
      </c>
      <c r="J36" s="230" t="s">
        <v>7</v>
      </c>
      <c r="K36" s="230" t="s">
        <v>7</v>
      </c>
      <c r="L36" s="230" t="s">
        <v>7</v>
      </c>
      <c r="M36" s="230" t="s">
        <v>7</v>
      </c>
      <c r="N36" s="231" t="s">
        <v>116</v>
      </c>
      <c r="O36" s="229" t="s">
        <v>10</v>
      </c>
      <c r="P36" s="229" t="s">
        <v>10</v>
      </c>
      <c r="Q36" s="229" t="s">
        <v>10</v>
      </c>
      <c r="R36" s="229" t="s">
        <v>10</v>
      </c>
      <c r="S36" s="229" t="s">
        <v>10</v>
      </c>
      <c r="T36" s="229" t="s">
        <v>10</v>
      </c>
      <c r="U36" s="231" t="s">
        <v>116</v>
      </c>
      <c r="V36" s="207" t="s">
        <v>22</v>
      </c>
      <c r="W36" s="207" t="s">
        <v>22</v>
      </c>
      <c r="X36" s="207" t="s">
        <v>22</v>
      </c>
      <c r="Y36" s="207" t="s">
        <v>22</v>
      </c>
      <c r="Z36" s="207" t="s">
        <v>22</v>
      </c>
      <c r="AA36" s="207" t="s">
        <v>22</v>
      </c>
      <c r="AB36" s="231" t="s">
        <v>116</v>
      </c>
      <c r="AC36" s="230" t="s">
        <v>7</v>
      </c>
      <c r="AD36" s="230" t="s">
        <v>7</v>
      </c>
      <c r="AE36" s="230" t="s">
        <v>7</v>
      </c>
      <c r="AF36" s="230" t="s">
        <v>7</v>
      </c>
      <c r="AG36" s="261" t="s">
        <v>7</v>
      </c>
      <c r="AH36" s="206" t="s">
        <v>116</v>
      </c>
      <c r="AI36" s="236" t="s">
        <v>7</v>
      </c>
      <c r="AJ36" s="305"/>
    </row>
    <row r="37" spans="2:36" x14ac:dyDescent="0.2">
      <c r="B37" s="61">
        <v>7929004</v>
      </c>
      <c r="C37" s="62" t="s">
        <v>80</v>
      </c>
      <c r="D37" s="63" t="s">
        <v>81</v>
      </c>
      <c r="E37" s="87" t="s">
        <v>27</v>
      </c>
      <c r="F37" s="214" t="s">
        <v>7</v>
      </c>
      <c r="G37" s="231" t="s">
        <v>116</v>
      </c>
      <c r="H37" s="207" t="s">
        <v>22</v>
      </c>
      <c r="I37" s="207" t="s">
        <v>22</v>
      </c>
      <c r="J37" s="207" t="s">
        <v>22</v>
      </c>
      <c r="K37" s="207" t="s">
        <v>22</v>
      </c>
      <c r="L37" s="207" t="s">
        <v>22</v>
      </c>
      <c r="M37" s="207" t="s">
        <v>22</v>
      </c>
      <c r="N37" s="231" t="s">
        <v>116</v>
      </c>
      <c r="O37" s="233" t="s">
        <v>9</v>
      </c>
      <c r="P37" s="230" t="s">
        <v>7</v>
      </c>
      <c r="Q37" s="230" t="s">
        <v>7</v>
      </c>
      <c r="R37" s="230" t="s">
        <v>7</v>
      </c>
      <c r="S37" s="230" t="s">
        <v>7</v>
      </c>
      <c r="T37" s="230" t="s">
        <v>7</v>
      </c>
      <c r="U37" s="231" t="s">
        <v>116</v>
      </c>
      <c r="V37" s="230" t="s">
        <v>7</v>
      </c>
      <c r="W37" s="230" t="s">
        <v>7</v>
      </c>
      <c r="X37" s="230" t="s">
        <v>7</v>
      </c>
      <c r="Y37" s="230" t="s">
        <v>7</v>
      </c>
      <c r="Z37" s="230" t="s">
        <v>7</v>
      </c>
      <c r="AA37" s="230" t="s">
        <v>7</v>
      </c>
      <c r="AB37" s="231" t="s">
        <v>116</v>
      </c>
      <c r="AC37" s="229" t="s">
        <v>10</v>
      </c>
      <c r="AD37" s="229" t="s">
        <v>10</v>
      </c>
      <c r="AE37" s="229" t="s">
        <v>10</v>
      </c>
      <c r="AF37" s="229" t="s">
        <v>10</v>
      </c>
      <c r="AG37" s="228" t="s">
        <v>10</v>
      </c>
      <c r="AH37" s="206" t="s">
        <v>116</v>
      </c>
      <c r="AI37" s="232" t="s">
        <v>10</v>
      </c>
      <c r="AJ37" s="290"/>
    </row>
    <row r="38" spans="2:36" ht="15" thickBot="1" x14ac:dyDescent="0.25">
      <c r="B38" s="84">
        <v>7892982</v>
      </c>
      <c r="C38" s="85" t="s">
        <v>82</v>
      </c>
      <c r="D38" s="86" t="s">
        <v>83</v>
      </c>
      <c r="E38" s="22" t="s">
        <v>27</v>
      </c>
      <c r="F38" s="207" t="s">
        <v>22</v>
      </c>
      <c r="G38" s="206" t="s">
        <v>116</v>
      </c>
      <c r="H38" s="207" t="s">
        <v>22</v>
      </c>
      <c r="I38" s="207" t="s">
        <v>22</v>
      </c>
      <c r="J38" s="207" t="s">
        <v>22</v>
      </c>
      <c r="K38" s="207" t="s">
        <v>22</v>
      </c>
      <c r="L38" s="207" t="s">
        <v>22</v>
      </c>
      <c r="M38" s="207" t="s">
        <v>22</v>
      </c>
      <c r="N38" s="206" t="s">
        <v>116</v>
      </c>
      <c r="O38" s="229" t="s">
        <v>10</v>
      </c>
      <c r="P38" s="229" t="s">
        <v>10</v>
      </c>
      <c r="Q38" s="229" t="s">
        <v>10</v>
      </c>
      <c r="R38" s="229" t="s">
        <v>10</v>
      </c>
      <c r="S38" s="229" t="s">
        <v>10</v>
      </c>
      <c r="T38" s="229" t="s">
        <v>10</v>
      </c>
      <c r="U38" s="206" t="s">
        <v>116</v>
      </c>
      <c r="V38" s="230" t="s">
        <v>7</v>
      </c>
      <c r="W38" s="230" t="s">
        <v>7</v>
      </c>
      <c r="X38" s="230" t="s">
        <v>7</v>
      </c>
      <c r="Y38" s="230" t="s">
        <v>7</v>
      </c>
      <c r="Z38" s="230" t="s">
        <v>7</v>
      </c>
      <c r="AA38" s="230" t="s">
        <v>7</v>
      </c>
      <c r="AB38" s="206" t="s">
        <v>116</v>
      </c>
      <c r="AC38" s="230" t="s">
        <v>7</v>
      </c>
      <c r="AD38" s="230" t="s">
        <v>7</v>
      </c>
      <c r="AE38" s="230" t="s">
        <v>7</v>
      </c>
      <c r="AF38" s="230" t="s">
        <v>7</v>
      </c>
      <c r="AG38" s="230" t="s">
        <v>7</v>
      </c>
      <c r="AH38" s="262" t="s">
        <v>116</v>
      </c>
      <c r="AI38" s="232" t="s">
        <v>10</v>
      </c>
      <c r="AJ38" s="283"/>
    </row>
    <row r="39" spans="2:36" x14ac:dyDescent="0.2">
      <c r="B39" s="88">
        <v>7546024</v>
      </c>
      <c r="C39" s="89" t="s">
        <v>85</v>
      </c>
      <c r="D39" s="90" t="s">
        <v>86</v>
      </c>
      <c r="E39" s="91" t="s">
        <v>24</v>
      </c>
      <c r="F39" s="226" t="s">
        <v>10</v>
      </c>
      <c r="G39" s="226" t="s">
        <v>10</v>
      </c>
      <c r="H39" s="264" t="s">
        <v>116</v>
      </c>
      <c r="I39" s="225" t="s">
        <v>7</v>
      </c>
      <c r="J39" s="225" t="s">
        <v>7</v>
      </c>
      <c r="K39" s="225" t="s">
        <v>7</v>
      </c>
      <c r="L39" s="225" t="s">
        <v>7</v>
      </c>
      <c r="M39" s="225" t="s">
        <v>7</v>
      </c>
      <c r="N39" s="225" t="s">
        <v>7</v>
      </c>
      <c r="O39" s="224" t="s">
        <v>116</v>
      </c>
      <c r="P39" s="226" t="s">
        <v>10</v>
      </c>
      <c r="Q39" s="226" t="s">
        <v>10</v>
      </c>
      <c r="R39" s="226" t="s">
        <v>10</v>
      </c>
      <c r="S39" s="226" t="s">
        <v>10</v>
      </c>
      <c r="T39" s="226" t="s">
        <v>10</v>
      </c>
      <c r="U39" s="226" t="s">
        <v>10</v>
      </c>
      <c r="V39" s="224" t="s">
        <v>116</v>
      </c>
      <c r="W39" s="241" t="s">
        <v>22</v>
      </c>
      <c r="X39" s="241" t="s">
        <v>22</v>
      </c>
      <c r="Y39" s="241" t="s">
        <v>22</v>
      </c>
      <c r="Z39" s="241" t="s">
        <v>22</v>
      </c>
      <c r="AA39" s="241" t="s">
        <v>22</v>
      </c>
      <c r="AB39" s="241" t="s">
        <v>22</v>
      </c>
      <c r="AC39" s="224" t="s">
        <v>116</v>
      </c>
      <c r="AD39" s="225" t="s">
        <v>7</v>
      </c>
      <c r="AE39" s="225" t="s">
        <v>7</v>
      </c>
      <c r="AF39" s="225" t="s">
        <v>7</v>
      </c>
      <c r="AG39" s="265" t="s">
        <v>116</v>
      </c>
      <c r="AH39" s="266" t="s">
        <v>7</v>
      </c>
      <c r="AI39" s="227" t="s">
        <v>7</v>
      </c>
      <c r="AJ39" s="306"/>
    </row>
    <row r="40" spans="2:36" x14ac:dyDescent="0.2">
      <c r="B40" s="64" t="s">
        <v>87</v>
      </c>
      <c r="C40" s="65" t="s">
        <v>88</v>
      </c>
      <c r="D40" s="66" t="s">
        <v>89</v>
      </c>
      <c r="E40" s="23" t="s">
        <v>24</v>
      </c>
      <c r="F40" s="228" t="s">
        <v>10</v>
      </c>
      <c r="G40" s="229" t="s">
        <v>10</v>
      </c>
      <c r="H40" s="206" t="s">
        <v>116</v>
      </c>
      <c r="I40" s="229" t="s">
        <v>10</v>
      </c>
      <c r="J40" s="229" t="s">
        <v>10</v>
      </c>
      <c r="K40" s="229" t="s">
        <v>10</v>
      </c>
      <c r="L40" s="229" t="s">
        <v>10</v>
      </c>
      <c r="M40" s="229" t="s">
        <v>10</v>
      </c>
      <c r="N40" s="233" t="s">
        <v>9</v>
      </c>
      <c r="O40" s="206" t="s">
        <v>116</v>
      </c>
      <c r="P40" s="230" t="s">
        <v>7</v>
      </c>
      <c r="Q40" s="230" t="s">
        <v>7</v>
      </c>
      <c r="R40" s="230" t="s">
        <v>7</v>
      </c>
      <c r="S40" s="230" t="s">
        <v>7</v>
      </c>
      <c r="T40" s="230" t="s">
        <v>7</v>
      </c>
      <c r="U40" s="230" t="s">
        <v>7</v>
      </c>
      <c r="V40" s="231" t="s">
        <v>116</v>
      </c>
      <c r="W40" s="230" t="s">
        <v>7</v>
      </c>
      <c r="X40" s="230" t="s">
        <v>7</v>
      </c>
      <c r="Y40" s="230" t="s">
        <v>7</v>
      </c>
      <c r="Z40" s="230" t="s">
        <v>7</v>
      </c>
      <c r="AA40" s="230" t="s">
        <v>7</v>
      </c>
      <c r="AB40" s="230" t="s">
        <v>7</v>
      </c>
      <c r="AC40" s="231" t="s">
        <v>116</v>
      </c>
      <c r="AD40" s="229" t="s">
        <v>10</v>
      </c>
      <c r="AE40" s="229" t="s">
        <v>10</v>
      </c>
      <c r="AF40" s="229" t="s">
        <v>10</v>
      </c>
      <c r="AG40" s="229" t="s">
        <v>10</v>
      </c>
      <c r="AH40" s="229" t="s">
        <v>10</v>
      </c>
      <c r="AI40" s="234" t="s">
        <v>116</v>
      </c>
      <c r="AJ40" s="290"/>
    </row>
    <row r="41" spans="2:36" x14ac:dyDescent="0.2">
      <c r="B41" s="92">
        <v>7657458</v>
      </c>
      <c r="C41" s="65" t="s">
        <v>90</v>
      </c>
      <c r="D41" s="66" t="s">
        <v>91</v>
      </c>
      <c r="E41" s="23" t="s">
        <v>24</v>
      </c>
      <c r="F41" s="255" t="s">
        <v>7</v>
      </c>
      <c r="G41" s="255" t="s">
        <v>7</v>
      </c>
      <c r="H41" s="235" t="s">
        <v>116</v>
      </c>
      <c r="I41" s="229" t="s">
        <v>10</v>
      </c>
      <c r="J41" s="229" t="s">
        <v>10</v>
      </c>
      <c r="K41" s="229" t="s">
        <v>10</v>
      </c>
      <c r="L41" s="229" t="s">
        <v>10</v>
      </c>
      <c r="M41" s="229" t="s">
        <v>10</v>
      </c>
      <c r="N41" s="229" t="s">
        <v>10</v>
      </c>
      <c r="O41" s="231" t="s">
        <v>116</v>
      </c>
      <c r="P41" s="230" t="s">
        <v>7</v>
      </c>
      <c r="Q41" s="230" t="s">
        <v>7</v>
      </c>
      <c r="R41" s="230" t="s">
        <v>7</v>
      </c>
      <c r="S41" s="230" t="s">
        <v>7</v>
      </c>
      <c r="T41" s="230" t="s">
        <v>7</v>
      </c>
      <c r="U41" s="230" t="s">
        <v>7</v>
      </c>
      <c r="V41" s="231" t="s">
        <v>116</v>
      </c>
      <c r="W41" s="230" t="s">
        <v>7</v>
      </c>
      <c r="X41" s="230" t="s">
        <v>7</v>
      </c>
      <c r="Y41" s="230" t="s">
        <v>7</v>
      </c>
      <c r="Z41" s="230" t="s">
        <v>7</v>
      </c>
      <c r="AA41" s="230" t="s">
        <v>7</v>
      </c>
      <c r="AB41" s="230" t="s">
        <v>7</v>
      </c>
      <c r="AC41" s="231" t="s">
        <v>116</v>
      </c>
      <c r="AD41" s="230" t="s">
        <v>7</v>
      </c>
      <c r="AE41" s="230" t="s">
        <v>7</v>
      </c>
      <c r="AF41" s="230" t="s">
        <v>7</v>
      </c>
      <c r="AG41" s="230" t="s">
        <v>7</v>
      </c>
      <c r="AH41" s="230" t="s">
        <v>7</v>
      </c>
      <c r="AI41" s="234" t="s">
        <v>116</v>
      </c>
      <c r="AJ41" s="307"/>
    </row>
    <row r="42" spans="2:36" x14ac:dyDescent="0.2">
      <c r="B42" s="92">
        <v>7864530</v>
      </c>
      <c r="C42" s="65" t="s">
        <v>92</v>
      </c>
      <c r="D42" s="66" t="s">
        <v>93</v>
      </c>
      <c r="E42" s="23" t="s">
        <v>24</v>
      </c>
      <c r="F42" s="255" t="s">
        <v>7</v>
      </c>
      <c r="G42" s="255" t="s">
        <v>7</v>
      </c>
      <c r="H42" s="235" t="s">
        <v>116</v>
      </c>
      <c r="I42" s="229" t="s">
        <v>10</v>
      </c>
      <c r="J42" s="229" t="s">
        <v>10</v>
      </c>
      <c r="K42" s="229" t="s">
        <v>10</v>
      </c>
      <c r="L42" s="229" t="s">
        <v>10</v>
      </c>
      <c r="M42" s="229" t="s">
        <v>10</v>
      </c>
      <c r="N42" s="229" t="s">
        <v>10</v>
      </c>
      <c r="O42" s="231" t="s">
        <v>116</v>
      </c>
      <c r="P42" s="230" t="s">
        <v>7</v>
      </c>
      <c r="Q42" s="230" t="s">
        <v>7</v>
      </c>
      <c r="R42" s="230" t="s">
        <v>7</v>
      </c>
      <c r="S42" s="230" t="s">
        <v>7</v>
      </c>
      <c r="T42" s="230" t="s">
        <v>7</v>
      </c>
      <c r="U42" s="230" t="s">
        <v>7</v>
      </c>
      <c r="V42" s="231" t="s">
        <v>116</v>
      </c>
      <c r="W42" s="230" t="s">
        <v>7</v>
      </c>
      <c r="X42" s="230" t="s">
        <v>7</v>
      </c>
      <c r="Y42" s="230" t="s">
        <v>7</v>
      </c>
      <c r="Z42" s="230" t="s">
        <v>7</v>
      </c>
      <c r="AA42" s="230" t="s">
        <v>7</v>
      </c>
      <c r="AB42" s="230" t="s">
        <v>7</v>
      </c>
      <c r="AC42" s="231" t="s">
        <v>116</v>
      </c>
      <c r="AD42" s="230" t="s">
        <v>7</v>
      </c>
      <c r="AE42" s="230" t="s">
        <v>7</v>
      </c>
      <c r="AF42" s="230" t="s">
        <v>7</v>
      </c>
      <c r="AG42" s="230" t="s">
        <v>7</v>
      </c>
      <c r="AH42" s="230" t="s">
        <v>7</v>
      </c>
      <c r="AI42" s="234" t="s">
        <v>116</v>
      </c>
      <c r="AJ42" s="307"/>
    </row>
    <row r="43" spans="2:36" x14ac:dyDescent="0.2">
      <c r="B43" s="92">
        <v>7723497</v>
      </c>
      <c r="C43" s="65" t="s">
        <v>94</v>
      </c>
      <c r="D43" s="66" t="s">
        <v>95</v>
      </c>
      <c r="E43" s="23" t="s">
        <v>24</v>
      </c>
      <c r="F43" s="230" t="s">
        <v>7</v>
      </c>
      <c r="G43" s="230" t="s">
        <v>7</v>
      </c>
      <c r="H43" s="235" t="s">
        <v>116</v>
      </c>
      <c r="I43" s="230" t="s">
        <v>7</v>
      </c>
      <c r="J43" s="230" t="s">
        <v>7</v>
      </c>
      <c r="K43" s="230" t="s">
        <v>7</v>
      </c>
      <c r="L43" s="230" t="s">
        <v>7</v>
      </c>
      <c r="M43" s="230" t="s">
        <v>7</v>
      </c>
      <c r="N43" s="230" t="s">
        <v>7</v>
      </c>
      <c r="O43" s="230" t="s">
        <v>7</v>
      </c>
      <c r="P43" s="231" t="s">
        <v>116</v>
      </c>
      <c r="Q43" s="233" t="s">
        <v>9</v>
      </c>
      <c r="R43" s="233" t="s">
        <v>9</v>
      </c>
      <c r="S43" s="230" t="s">
        <v>7</v>
      </c>
      <c r="T43" s="230" t="s">
        <v>7</v>
      </c>
      <c r="U43" s="230" t="s">
        <v>7</v>
      </c>
      <c r="V43" s="231" t="s">
        <v>116</v>
      </c>
      <c r="W43" s="229" t="s">
        <v>10</v>
      </c>
      <c r="X43" s="229" t="s">
        <v>10</v>
      </c>
      <c r="Y43" s="229" t="s">
        <v>10</v>
      </c>
      <c r="Z43" s="229" t="s">
        <v>10</v>
      </c>
      <c r="AA43" s="229" t="s">
        <v>10</v>
      </c>
      <c r="AB43" s="229" t="s">
        <v>10</v>
      </c>
      <c r="AC43" s="231" t="s">
        <v>116</v>
      </c>
      <c r="AD43" s="229" t="s">
        <v>10</v>
      </c>
      <c r="AE43" s="229" t="s">
        <v>10</v>
      </c>
      <c r="AF43" s="229" t="s">
        <v>10</v>
      </c>
      <c r="AG43" s="229" t="s">
        <v>10</v>
      </c>
      <c r="AH43" s="229" t="s">
        <v>10</v>
      </c>
      <c r="AI43" s="234" t="s">
        <v>116</v>
      </c>
      <c r="AJ43" s="283"/>
    </row>
    <row r="44" spans="2:36" x14ac:dyDescent="0.2">
      <c r="B44" s="93">
        <v>7913980</v>
      </c>
      <c r="C44" s="94" t="s">
        <v>96</v>
      </c>
      <c r="D44" s="95" t="s">
        <v>97</v>
      </c>
      <c r="E44" s="38" t="s">
        <v>27</v>
      </c>
      <c r="F44" s="229" t="s">
        <v>10</v>
      </c>
      <c r="G44" s="229" t="s">
        <v>10</v>
      </c>
      <c r="H44" s="235" t="s">
        <v>116</v>
      </c>
      <c r="I44" s="229" t="s">
        <v>10</v>
      </c>
      <c r="J44" s="229" t="s">
        <v>10</v>
      </c>
      <c r="K44" s="229" t="s">
        <v>10</v>
      </c>
      <c r="L44" s="229" t="s">
        <v>10</v>
      </c>
      <c r="M44" s="229" t="s">
        <v>10</v>
      </c>
      <c r="N44" s="229" t="s">
        <v>10</v>
      </c>
      <c r="O44" s="231" t="s">
        <v>116</v>
      </c>
      <c r="P44" s="237" t="s">
        <v>22</v>
      </c>
      <c r="Q44" s="237" t="s">
        <v>22</v>
      </c>
      <c r="R44" s="237" t="s">
        <v>22</v>
      </c>
      <c r="S44" s="237" t="s">
        <v>22</v>
      </c>
      <c r="T44" s="237" t="s">
        <v>22</v>
      </c>
      <c r="U44" s="237" t="s">
        <v>22</v>
      </c>
      <c r="V44" s="231" t="s">
        <v>116</v>
      </c>
      <c r="W44" s="250" t="s">
        <v>10</v>
      </c>
      <c r="X44" s="250" t="s">
        <v>10</v>
      </c>
      <c r="Y44" s="250" t="s">
        <v>10</v>
      </c>
      <c r="Z44" s="250" t="s">
        <v>10</v>
      </c>
      <c r="AA44" s="250" t="s">
        <v>10</v>
      </c>
      <c r="AB44" s="250" t="s">
        <v>10</v>
      </c>
      <c r="AC44" s="231" t="s">
        <v>116</v>
      </c>
      <c r="AD44" s="214" t="s">
        <v>7</v>
      </c>
      <c r="AE44" s="214" t="s">
        <v>7</v>
      </c>
      <c r="AF44" s="214" t="s">
        <v>7</v>
      </c>
      <c r="AG44" s="214" t="s">
        <v>7</v>
      </c>
      <c r="AH44" s="214" t="s">
        <v>7</v>
      </c>
      <c r="AI44" s="234" t="s">
        <v>116</v>
      </c>
      <c r="AJ44" s="308"/>
    </row>
    <row r="45" spans="2:36" ht="15" thickBot="1" x14ac:dyDescent="0.25">
      <c r="B45" s="93">
        <v>7937200</v>
      </c>
      <c r="C45" s="94" t="s">
        <v>98</v>
      </c>
      <c r="D45" s="95" t="s">
        <v>99</v>
      </c>
      <c r="E45" s="38" t="s">
        <v>27</v>
      </c>
      <c r="F45" s="219" t="s">
        <v>22</v>
      </c>
      <c r="G45" s="219" t="s">
        <v>22</v>
      </c>
      <c r="H45" s="267" t="s">
        <v>116</v>
      </c>
      <c r="I45" s="219" t="s">
        <v>22</v>
      </c>
      <c r="J45" s="219" t="s">
        <v>22</v>
      </c>
      <c r="K45" s="219" t="s">
        <v>22</v>
      </c>
      <c r="L45" s="219" t="s">
        <v>22</v>
      </c>
      <c r="M45" s="219" t="s">
        <v>22</v>
      </c>
      <c r="N45" s="219" t="s">
        <v>22</v>
      </c>
      <c r="O45" s="247" t="s">
        <v>116</v>
      </c>
      <c r="P45" s="268" t="s">
        <v>10</v>
      </c>
      <c r="Q45" s="268" t="s">
        <v>10</v>
      </c>
      <c r="R45" s="268" t="s">
        <v>10</v>
      </c>
      <c r="S45" s="268" t="s">
        <v>10</v>
      </c>
      <c r="T45" s="268" t="s">
        <v>10</v>
      </c>
      <c r="U45" s="268" t="s">
        <v>10</v>
      </c>
      <c r="V45" s="247" t="s">
        <v>116</v>
      </c>
      <c r="W45" s="256" t="s">
        <v>7</v>
      </c>
      <c r="X45" s="256" t="s">
        <v>7</v>
      </c>
      <c r="Y45" s="256" t="s">
        <v>7</v>
      </c>
      <c r="Z45" s="256" t="s">
        <v>7</v>
      </c>
      <c r="AA45" s="256" t="s">
        <v>7</v>
      </c>
      <c r="AB45" s="256" t="s">
        <v>7</v>
      </c>
      <c r="AC45" s="247" t="s">
        <v>116</v>
      </c>
      <c r="AD45" s="219" t="s">
        <v>22</v>
      </c>
      <c r="AE45" s="219" t="s">
        <v>22</v>
      </c>
      <c r="AF45" s="219" t="s">
        <v>22</v>
      </c>
      <c r="AG45" s="219" t="s">
        <v>22</v>
      </c>
      <c r="AH45" s="219" t="s">
        <v>22</v>
      </c>
      <c r="AI45" s="223" t="s">
        <v>116</v>
      </c>
      <c r="AJ45" s="292"/>
    </row>
    <row r="46" spans="2:36" x14ac:dyDescent="0.2">
      <c r="B46" s="134">
        <v>6350655</v>
      </c>
      <c r="C46" s="135" t="s">
        <v>100</v>
      </c>
      <c r="D46" s="136" t="s">
        <v>101</v>
      </c>
      <c r="E46" s="136" t="s">
        <v>24</v>
      </c>
      <c r="F46" s="253" t="s">
        <v>7</v>
      </c>
      <c r="G46" s="253" t="s">
        <v>7</v>
      </c>
      <c r="H46" s="253" t="s">
        <v>7</v>
      </c>
      <c r="I46" s="239" t="s">
        <v>116</v>
      </c>
      <c r="J46" s="250" t="s">
        <v>10</v>
      </c>
      <c r="K46" s="250" t="s">
        <v>10</v>
      </c>
      <c r="L46" s="250" t="s">
        <v>10</v>
      </c>
      <c r="M46" s="250" t="s">
        <v>10</v>
      </c>
      <c r="N46" s="250" t="s">
        <v>10</v>
      </c>
      <c r="O46" s="250" t="s">
        <v>10</v>
      </c>
      <c r="P46" s="239" t="s">
        <v>116</v>
      </c>
      <c r="Q46" s="250" t="s">
        <v>10</v>
      </c>
      <c r="R46" s="250" t="s">
        <v>10</v>
      </c>
      <c r="S46" s="250" t="s">
        <v>10</v>
      </c>
      <c r="T46" s="250" t="s">
        <v>10</v>
      </c>
      <c r="U46" s="250" t="s">
        <v>10</v>
      </c>
      <c r="V46" s="250" t="s">
        <v>10</v>
      </c>
      <c r="W46" s="239" t="s">
        <v>116</v>
      </c>
      <c r="X46" s="253" t="s">
        <v>7</v>
      </c>
      <c r="Y46" s="253" t="s">
        <v>7</v>
      </c>
      <c r="Z46" s="253" t="s">
        <v>7</v>
      </c>
      <c r="AA46" s="253" t="s">
        <v>7</v>
      </c>
      <c r="AB46" s="253" t="s">
        <v>7</v>
      </c>
      <c r="AC46" s="253" t="s">
        <v>7</v>
      </c>
      <c r="AD46" s="239" t="s">
        <v>116</v>
      </c>
      <c r="AE46" s="253" t="s">
        <v>7</v>
      </c>
      <c r="AF46" s="253" t="s">
        <v>7</v>
      </c>
      <c r="AG46" s="253" t="s">
        <v>7</v>
      </c>
      <c r="AH46" s="253" t="s">
        <v>7</v>
      </c>
      <c r="AI46" s="269" t="s">
        <v>7</v>
      </c>
      <c r="AJ46" s="309"/>
    </row>
    <row r="47" spans="2:36" x14ac:dyDescent="0.2">
      <c r="B47" s="39">
        <v>7834830</v>
      </c>
      <c r="C47" s="40" t="s">
        <v>102</v>
      </c>
      <c r="D47" s="67" t="s">
        <v>103</v>
      </c>
      <c r="E47" s="8" t="s">
        <v>24</v>
      </c>
      <c r="F47" s="178"/>
      <c r="G47" s="178"/>
      <c r="H47" s="178"/>
      <c r="I47" s="231"/>
      <c r="J47" s="178"/>
      <c r="K47" s="178"/>
      <c r="L47" s="178"/>
      <c r="M47" s="178"/>
      <c r="N47" s="233"/>
      <c r="O47" s="231"/>
      <c r="P47" s="270"/>
      <c r="Q47" s="178"/>
      <c r="R47" s="178"/>
      <c r="S47" s="178"/>
      <c r="T47" s="178"/>
      <c r="U47" s="178"/>
      <c r="V47" s="178"/>
      <c r="W47" s="231"/>
      <c r="X47" s="178"/>
      <c r="Y47" s="178"/>
      <c r="Z47" s="178"/>
      <c r="AA47" s="178"/>
      <c r="AB47" s="178"/>
      <c r="AC47" s="178"/>
      <c r="AD47" s="231"/>
      <c r="AE47" s="178"/>
      <c r="AF47" s="178"/>
      <c r="AG47" s="178"/>
      <c r="AH47" s="178"/>
      <c r="AI47" s="271"/>
      <c r="AJ47" s="310"/>
    </row>
    <row r="48" spans="2:36" x14ac:dyDescent="0.2">
      <c r="B48" s="39">
        <v>7863826</v>
      </c>
      <c r="C48" s="40" t="s">
        <v>104</v>
      </c>
      <c r="D48" s="67" t="s">
        <v>105</v>
      </c>
      <c r="E48" s="8" t="s">
        <v>24</v>
      </c>
      <c r="F48" s="229" t="s">
        <v>10</v>
      </c>
      <c r="G48" s="229" t="s">
        <v>10</v>
      </c>
      <c r="H48" s="229" t="s">
        <v>10</v>
      </c>
      <c r="I48" s="206" t="s">
        <v>116</v>
      </c>
      <c r="J48" s="229" t="s">
        <v>10</v>
      </c>
      <c r="K48" s="229" t="s">
        <v>10</v>
      </c>
      <c r="L48" s="229" t="s">
        <v>10</v>
      </c>
      <c r="M48" s="229" t="s">
        <v>10</v>
      </c>
      <c r="N48" s="229" t="s">
        <v>10</v>
      </c>
      <c r="O48" s="229" t="s">
        <v>10</v>
      </c>
      <c r="P48" s="206" t="s">
        <v>116</v>
      </c>
      <c r="Q48" s="230" t="s">
        <v>7</v>
      </c>
      <c r="R48" s="230" t="s">
        <v>7</v>
      </c>
      <c r="S48" s="230" t="s">
        <v>7</v>
      </c>
      <c r="T48" s="230" t="s">
        <v>7</v>
      </c>
      <c r="U48" s="230" t="s">
        <v>7</v>
      </c>
      <c r="V48" s="230" t="s">
        <v>7</v>
      </c>
      <c r="W48" s="206" t="s">
        <v>116</v>
      </c>
      <c r="X48" s="229" t="s">
        <v>10</v>
      </c>
      <c r="Y48" s="229" t="s">
        <v>10</v>
      </c>
      <c r="Z48" s="229" t="s">
        <v>10</v>
      </c>
      <c r="AA48" s="229" t="s">
        <v>10</v>
      </c>
      <c r="AB48" s="229" t="s">
        <v>10</v>
      </c>
      <c r="AC48" s="229" t="s">
        <v>10</v>
      </c>
      <c r="AD48" s="206" t="s">
        <v>116</v>
      </c>
      <c r="AE48" s="229" t="s">
        <v>10</v>
      </c>
      <c r="AF48" s="229" t="s">
        <v>10</v>
      </c>
      <c r="AG48" s="229" t="s">
        <v>10</v>
      </c>
      <c r="AH48" s="229" t="s">
        <v>10</v>
      </c>
      <c r="AI48" s="229" t="s">
        <v>10</v>
      </c>
      <c r="AJ48" s="290"/>
    </row>
    <row r="49" spans="2:41" x14ac:dyDescent="0.2">
      <c r="B49" s="39">
        <v>7863822</v>
      </c>
      <c r="C49" s="40" t="s">
        <v>106</v>
      </c>
      <c r="D49" s="67" t="s">
        <v>107</v>
      </c>
      <c r="E49" s="8" t="s">
        <v>24</v>
      </c>
      <c r="F49" s="255" t="s">
        <v>7</v>
      </c>
      <c r="G49" s="255" t="s">
        <v>7</v>
      </c>
      <c r="H49" s="255" t="s">
        <v>7</v>
      </c>
      <c r="I49" s="206" t="s">
        <v>116</v>
      </c>
      <c r="J49" s="255" t="s">
        <v>7</v>
      </c>
      <c r="K49" s="255" t="s">
        <v>7</v>
      </c>
      <c r="L49" s="255" t="s">
        <v>7</v>
      </c>
      <c r="M49" s="255" t="s">
        <v>7</v>
      </c>
      <c r="N49" s="255" t="s">
        <v>7</v>
      </c>
      <c r="O49" s="255" t="s">
        <v>7</v>
      </c>
      <c r="P49" s="206" t="s">
        <v>116</v>
      </c>
      <c r="Q49" s="233" t="s">
        <v>9</v>
      </c>
      <c r="R49" s="233" t="s">
        <v>9</v>
      </c>
      <c r="S49" s="233" t="s">
        <v>9</v>
      </c>
      <c r="T49" s="233" t="s">
        <v>120</v>
      </c>
      <c r="U49" s="229" t="s">
        <v>10</v>
      </c>
      <c r="V49" s="229" t="s">
        <v>10</v>
      </c>
      <c r="W49" s="206" t="s">
        <v>116</v>
      </c>
      <c r="X49" s="229" t="s">
        <v>10</v>
      </c>
      <c r="Y49" s="229" t="s">
        <v>10</v>
      </c>
      <c r="Z49" s="229" t="s">
        <v>10</v>
      </c>
      <c r="AA49" s="229" t="s">
        <v>10</v>
      </c>
      <c r="AB49" s="229" t="s">
        <v>10</v>
      </c>
      <c r="AC49" s="229" t="s">
        <v>10</v>
      </c>
      <c r="AD49" s="206" t="s">
        <v>116</v>
      </c>
      <c r="AE49" s="255" t="s">
        <v>7</v>
      </c>
      <c r="AF49" s="255" t="s">
        <v>7</v>
      </c>
      <c r="AG49" s="255" t="s">
        <v>7</v>
      </c>
      <c r="AH49" s="255" t="s">
        <v>7</v>
      </c>
      <c r="AI49" s="236" t="s">
        <v>7</v>
      </c>
      <c r="AJ49" s="305"/>
    </row>
    <row r="50" spans="2:41" x14ac:dyDescent="0.2">
      <c r="B50" s="39">
        <v>7857835</v>
      </c>
      <c r="C50" s="40" t="s">
        <v>108</v>
      </c>
      <c r="D50" s="67" t="s">
        <v>109</v>
      </c>
      <c r="E50" s="8" t="s">
        <v>27</v>
      </c>
      <c r="F50" s="229" t="s">
        <v>10</v>
      </c>
      <c r="G50" s="229" t="s">
        <v>10</v>
      </c>
      <c r="H50" s="229" t="s">
        <v>10</v>
      </c>
      <c r="I50" s="206" t="s">
        <v>116</v>
      </c>
      <c r="J50" s="229" t="s">
        <v>10</v>
      </c>
      <c r="K50" s="229" t="s">
        <v>10</v>
      </c>
      <c r="L50" s="229" t="s">
        <v>10</v>
      </c>
      <c r="M50" s="229" t="s">
        <v>10</v>
      </c>
      <c r="N50" s="229" t="s">
        <v>10</v>
      </c>
      <c r="O50" s="229" t="s">
        <v>10</v>
      </c>
      <c r="P50" s="206" t="s">
        <v>116</v>
      </c>
      <c r="Q50" s="207" t="s">
        <v>22</v>
      </c>
      <c r="R50" s="207" t="s">
        <v>22</v>
      </c>
      <c r="S50" s="207" t="s">
        <v>22</v>
      </c>
      <c r="T50" s="207" t="s">
        <v>22</v>
      </c>
      <c r="U50" s="207" t="s">
        <v>22</v>
      </c>
      <c r="V50" s="207" t="s">
        <v>22</v>
      </c>
      <c r="W50" s="206" t="s">
        <v>116</v>
      </c>
      <c r="X50" s="230" t="s">
        <v>7</v>
      </c>
      <c r="Y50" s="230" t="s">
        <v>7</v>
      </c>
      <c r="Z50" s="230" t="s">
        <v>7</v>
      </c>
      <c r="AA50" s="230" t="s">
        <v>7</v>
      </c>
      <c r="AB50" s="230" t="s">
        <v>7</v>
      </c>
      <c r="AC50" s="230" t="s">
        <v>7</v>
      </c>
      <c r="AD50" s="206" t="s">
        <v>116</v>
      </c>
      <c r="AE50" s="229" t="s">
        <v>10</v>
      </c>
      <c r="AF50" s="229" t="s">
        <v>10</v>
      </c>
      <c r="AG50" s="229" t="s">
        <v>10</v>
      </c>
      <c r="AH50" s="229" t="s">
        <v>10</v>
      </c>
      <c r="AI50" s="232" t="s">
        <v>10</v>
      </c>
      <c r="AJ50" s="290"/>
    </row>
    <row r="51" spans="2:41" x14ac:dyDescent="0.2">
      <c r="B51" s="97">
        <v>7915365</v>
      </c>
      <c r="C51" s="98" t="s">
        <v>110</v>
      </c>
      <c r="D51" s="99" t="s">
        <v>111</v>
      </c>
      <c r="E51" s="96" t="s">
        <v>27</v>
      </c>
      <c r="F51" s="272" t="s">
        <v>10</v>
      </c>
      <c r="G51" s="272" t="s">
        <v>10</v>
      </c>
      <c r="H51" s="272" t="s">
        <v>10</v>
      </c>
      <c r="I51" s="206" t="s">
        <v>116</v>
      </c>
      <c r="J51" s="272" t="s">
        <v>10</v>
      </c>
      <c r="K51" s="272" t="s">
        <v>10</v>
      </c>
      <c r="L51" s="272" t="s">
        <v>10</v>
      </c>
      <c r="M51" s="272" t="s">
        <v>10</v>
      </c>
      <c r="N51" s="272" t="s">
        <v>10</v>
      </c>
      <c r="O51" s="272" t="s">
        <v>10</v>
      </c>
      <c r="P51" s="206" t="s">
        <v>116</v>
      </c>
      <c r="Q51" s="214" t="s">
        <v>7</v>
      </c>
      <c r="R51" s="214" t="s">
        <v>7</v>
      </c>
      <c r="S51" s="214" t="s">
        <v>7</v>
      </c>
      <c r="T51" s="214" t="s">
        <v>7</v>
      </c>
      <c r="U51" s="214" t="s">
        <v>7</v>
      </c>
      <c r="V51" s="214" t="s">
        <v>7</v>
      </c>
      <c r="W51" s="206" t="s">
        <v>116</v>
      </c>
      <c r="X51" s="214" t="s">
        <v>7</v>
      </c>
      <c r="Y51" s="214" t="s">
        <v>7</v>
      </c>
      <c r="Z51" s="214" t="s">
        <v>7</v>
      </c>
      <c r="AA51" s="214" t="s">
        <v>7</v>
      </c>
      <c r="AB51" s="214" t="s">
        <v>7</v>
      </c>
      <c r="AC51" s="214" t="s">
        <v>7</v>
      </c>
      <c r="AD51" s="206" t="s">
        <v>116</v>
      </c>
      <c r="AE51" s="272" t="s">
        <v>10</v>
      </c>
      <c r="AF51" s="272" t="s">
        <v>10</v>
      </c>
      <c r="AG51" s="272" t="s">
        <v>10</v>
      </c>
      <c r="AH51" s="272" t="s">
        <v>10</v>
      </c>
      <c r="AI51" s="273" t="s">
        <v>10</v>
      </c>
      <c r="AJ51" s="311"/>
    </row>
    <row r="52" spans="2:41" x14ac:dyDescent="0.2">
      <c r="B52" s="100">
        <v>7929011</v>
      </c>
      <c r="C52" s="101" t="s">
        <v>112</v>
      </c>
      <c r="D52" s="102" t="s">
        <v>113</v>
      </c>
      <c r="E52" s="103" t="s">
        <v>27</v>
      </c>
      <c r="F52" s="214" t="s">
        <v>7</v>
      </c>
      <c r="G52" s="214" t="s">
        <v>7</v>
      </c>
      <c r="H52" s="214" t="s">
        <v>7</v>
      </c>
      <c r="I52" s="206" t="s">
        <v>116</v>
      </c>
      <c r="J52" s="214" t="s">
        <v>7</v>
      </c>
      <c r="K52" s="214" t="s">
        <v>7</v>
      </c>
      <c r="L52" s="214" t="s">
        <v>7</v>
      </c>
      <c r="M52" s="214" t="s">
        <v>7</v>
      </c>
      <c r="N52" s="214" t="s">
        <v>7</v>
      </c>
      <c r="O52" s="214" t="s">
        <v>7</v>
      </c>
      <c r="P52" s="206" t="s">
        <v>116</v>
      </c>
      <c r="Q52" s="233" t="s">
        <v>9</v>
      </c>
      <c r="R52" s="233" t="s">
        <v>9</v>
      </c>
      <c r="S52" s="233" t="s">
        <v>9</v>
      </c>
      <c r="T52" s="233" t="s">
        <v>9</v>
      </c>
      <c r="U52" s="272" t="s">
        <v>10</v>
      </c>
      <c r="V52" s="272" t="s">
        <v>10</v>
      </c>
      <c r="W52" s="206" t="s">
        <v>116</v>
      </c>
      <c r="X52" s="229" t="s">
        <v>10</v>
      </c>
      <c r="Y52" s="229" t="s">
        <v>10</v>
      </c>
      <c r="Z52" s="229" t="s">
        <v>10</v>
      </c>
      <c r="AA52" s="229" t="s">
        <v>10</v>
      </c>
      <c r="AB52" s="229" t="s">
        <v>10</v>
      </c>
      <c r="AC52" s="229" t="s">
        <v>10</v>
      </c>
      <c r="AD52" s="206" t="s">
        <v>116</v>
      </c>
      <c r="AE52" s="214" t="s">
        <v>7</v>
      </c>
      <c r="AF52" s="214" t="s">
        <v>7</v>
      </c>
      <c r="AG52" s="214" t="s">
        <v>7</v>
      </c>
      <c r="AH52" s="214" t="s">
        <v>7</v>
      </c>
      <c r="AI52" s="236" t="s">
        <v>7</v>
      </c>
      <c r="AJ52" s="291"/>
    </row>
    <row r="53" spans="2:41" ht="15" thickBot="1" x14ac:dyDescent="0.25">
      <c r="B53" s="138">
        <v>7831441</v>
      </c>
      <c r="C53" s="137" t="s">
        <v>114</v>
      </c>
      <c r="D53" s="138" t="s">
        <v>115</v>
      </c>
      <c r="E53" s="139" t="s">
        <v>27</v>
      </c>
      <c r="F53" s="237" t="s">
        <v>22</v>
      </c>
      <c r="G53" s="237" t="s">
        <v>22</v>
      </c>
      <c r="H53" s="237" t="s">
        <v>22</v>
      </c>
      <c r="I53" s="263" t="s">
        <v>116</v>
      </c>
      <c r="J53" s="237" t="s">
        <v>22</v>
      </c>
      <c r="K53" s="237" t="s">
        <v>22</v>
      </c>
      <c r="L53" s="237" t="s">
        <v>22</v>
      </c>
      <c r="M53" s="237" t="s">
        <v>22</v>
      </c>
      <c r="N53" s="237" t="s">
        <v>22</v>
      </c>
      <c r="O53" s="237" t="s">
        <v>22</v>
      </c>
      <c r="P53" s="263" t="s">
        <v>116</v>
      </c>
      <c r="Q53" s="243" t="s">
        <v>10</v>
      </c>
      <c r="R53" s="243" t="s">
        <v>10</v>
      </c>
      <c r="S53" s="243" t="s">
        <v>10</v>
      </c>
      <c r="T53" s="243" t="s">
        <v>10</v>
      </c>
      <c r="U53" s="243" t="s">
        <v>10</v>
      </c>
      <c r="V53" s="243" t="s">
        <v>10</v>
      </c>
      <c r="W53" s="263" t="s">
        <v>116</v>
      </c>
      <c r="X53" s="214" t="s">
        <v>7</v>
      </c>
      <c r="Y53" s="214" t="s">
        <v>7</v>
      </c>
      <c r="Z53" s="214" t="s">
        <v>7</v>
      </c>
      <c r="AA53" s="214" t="s">
        <v>7</v>
      </c>
      <c r="AB53" s="214" t="s">
        <v>7</v>
      </c>
      <c r="AC53" s="214" t="s">
        <v>7</v>
      </c>
      <c r="AD53" s="263" t="s">
        <v>116</v>
      </c>
      <c r="AE53" s="237" t="s">
        <v>22</v>
      </c>
      <c r="AF53" s="237" t="s">
        <v>22</v>
      </c>
      <c r="AG53" s="237" t="s">
        <v>22</v>
      </c>
      <c r="AH53" s="237" t="s">
        <v>22</v>
      </c>
      <c r="AI53" s="240" t="s">
        <v>22</v>
      </c>
      <c r="AJ53" s="312"/>
    </row>
    <row r="54" spans="2:41" x14ac:dyDescent="0.2">
      <c r="B54" s="202">
        <v>5780782</v>
      </c>
      <c r="C54" s="203" t="s">
        <v>121</v>
      </c>
      <c r="D54" s="204" t="s">
        <v>122</v>
      </c>
      <c r="E54" s="205" t="s">
        <v>123</v>
      </c>
      <c r="F54" s="275"/>
      <c r="G54" s="276"/>
      <c r="H54" s="276"/>
      <c r="I54" s="277"/>
      <c r="J54" s="276"/>
      <c r="K54" s="276"/>
      <c r="L54" s="278"/>
      <c r="M54" s="279"/>
      <c r="N54" s="277"/>
      <c r="O54" s="277"/>
      <c r="P54" s="280"/>
      <c r="Q54" s="279"/>
      <c r="R54" s="281"/>
      <c r="S54" s="281"/>
      <c r="T54" s="281"/>
      <c r="U54" s="279"/>
      <c r="V54" s="281"/>
      <c r="W54" s="276"/>
      <c r="X54" s="276"/>
      <c r="Y54" s="282"/>
      <c r="Z54" s="276"/>
      <c r="AA54" s="279"/>
      <c r="AB54" s="282"/>
      <c r="AC54" s="276"/>
      <c r="AD54" s="276"/>
      <c r="AE54" s="276"/>
      <c r="AF54" s="276"/>
      <c r="AG54" s="276"/>
      <c r="AH54" s="279"/>
      <c r="AI54" s="276"/>
      <c r="AJ54" s="283"/>
    </row>
    <row r="55" spans="2:41" ht="15" thickBot="1" x14ac:dyDescent="0.25">
      <c r="B55" s="216">
        <v>7193333</v>
      </c>
      <c r="C55" s="217" t="s">
        <v>127</v>
      </c>
      <c r="D55" s="218" t="s">
        <v>128</v>
      </c>
      <c r="E55" s="218" t="s">
        <v>123</v>
      </c>
      <c r="F55" s="284"/>
      <c r="G55" s="285"/>
      <c r="H55" s="284"/>
      <c r="I55" s="284"/>
      <c r="J55" s="284"/>
      <c r="K55" s="284"/>
      <c r="L55" s="284"/>
      <c r="M55" s="284"/>
      <c r="N55" s="285"/>
      <c r="O55" s="284"/>
      <c r="P55" s="284"/>
      <c r="Q55" s="284"/>
      <c r="R55" s="284"/>
      <c r="S55" s="286"/>
      <c r="T55" s="284"/>
      <c r="U55" s="284"/>
      <c r="V55" s="287"/>
      <c r="W55" s="279"/>
      <c r="X55" s="284"/>
      <c r="Y55" s="284"/>
      <c r="Z55" s="284"/>
      <c r="AA55" s="284"/>
      <c r="AB55" s="284"/>
      <c r="AC55" s="284"/>
      <c r="AD55" s="285"/>
      <c r="AE55" s="284"/>
      <c r="AF55" s="284"/>
      <c r="AG55" s="284"/>
      <c r="AH55" s="284"/>
      <c r="AI55" s="284"/>
      <c r="AJ55" s="288"/>
    </row>
    <row r="56" spans="2:41" x14ac:dyDescent="0.2">
      <c r="B56" s="41"/>
      <c r="C56" s="42"/>
      <c r="D56" s="43"/>
      <c r="E56" s="43"/>
      <c r="F56" s="44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2:41" ht="15" thickBot="1" x14ac:dyDescent="0.25">
      <c r="B57" s="3"/>
      <c r="C57" s="3"/>
      <c r="D57" s="3"/>
      <c r="E57" s="3"/>
      <c r="F57" s="2">
        <v>46266</v>
      </c>
      <c r="G57" s="2">
        <v>46267</v>
      </c>
      <c r="H57" s="2">
        <v>46268</v>
      </c>
      <c r="I57" s="2">
        <v>46269</v>
      </c>
      <c r="J57" s="2">
        <v>46270</v>
      </c>
      <c r="K57" s="2">
        <v>46271</v>
      </c>
      <c r="L57" s="2">
        <v>46272</v>
      </c>
      <c r="M57" s="2">
        <v>46273</v>
      </c>
      <c r="N57" s="2">
        <v>46274</v>
      </c>
      <c r="O57" s="2">
        <v>46275</v>
      </c>
      <c r="P57" s="2">
        <v>46276</v>
      </c>
      <c r="Q57" s="2">
        <v>46277</v>
      </c>
      <c r="R57" s="2">
        <v>46278</v>
      </c>
      <c r="S57" s="2">
        <v>46279</v>
      </c>
      <c r="T57" s="2">
        <v>46280</v>
      </c>
      <c r="U57" s="2">
        <v>46281</v>
      </c>
      <c r="V57" s="2">
        <v>46282</v>
      </c>
      <c r="W57" s="2">
        <v>46283</v>
      </c>
      <c r="X57" s="2">
        <v>46284</v>
      </c>
      <c r="Y57" s="2">
        <v>46285</v>
      </c>
      <c r="Z57" s="2">
        <v>46286</v>
      </c>
      <c r="AA57" s="2">
        <v>46287</v>
      </c>
      <c r="AB57" s="2">
        <v>46288</v>
      </c>
      <c r="AC57" s="2">
        <v>46289</v>
      </c>
      <c r="AD57" s="2">
        <v>46290</v>
      </c>
      <c r="AE57" s="2">
        <v>46291</v>
      </c>
      <c r="AF57" s="2">
        <v>46292</v>
      </c>
      <c r="AG57" s="2">
        <v>46293</v>
      </c>
      <c r="AH57" s="2">
        <v>46294</v>
      </c>
      <c r="AI57" s="2">
        <v>46295</v>
      </c>
      <c r="AJ57" s="2"/>
    </row>
    <row r="58" spans="2:41" x14ac:dyDescent="0.2">
      <c r="B58" s="353" t="s">
        <v>7</v>
      </c>
      <c r="C58" s="354"/>
      <c r="D58" s="354"/>
      <c r="E58" s="355"/>
      <c r="F58" s="337">
        <f t="shared" ref="F58:Q58" si="0">COUNTIFS(F4:F53,"A100")</f>
        <v>19</v>
      </c>
      <c r="G58" s="337">
        <f t="shared" si="0"/>
        <v>21</v>
      </c>
      <c r="H58" s="337">
        <f t="shared" si="0"/>
        <v>23</v>
      </c>
      <c r="I58" s="337">
        <f t="shared" si="0"/>
        <v>21</v>
      </c>
      <c r="J58" s="337">
        <f t="shared" si="0"/>
        <v>24</v>
      </c>
      <c r="K58" s="337">
        <f t="shared" si="0"/>
        <v>22</v>
      </c>
      <c r="L58" s="337">
        <f t="shared" si="0"/>
        <v>19</v>
      </c>
      <c r="M58" s="337">
        <f t="shared" si="0"/>
        <v>20</v>
      </c>
      <c r="N58" s="337">
        <f t="shared" si="0"/>
        <v>20</v>
      </c>
      <c r="O58" s="337">
        <f t="shared" si="0"/>
        <v>20</v>
      </c>
      <c r="P58" s="337">
        <f t="shared" si="0"/>
        <v>22</v>
      </c>
      <c r="Q58" s="337">
        <f t="shared" si="0"/>
        <v>23</v>
      </c>
      <c r="R58" s="337" t="s">
        <v>116</v>
      </c>
      <c r="S58" s="337">
        <f>COUNTIFS(S4:S53,"A100")</f>
        <v>19</v>
      </c>
      <c r="T58" s="337">
        <f>COUNTIFS(T4:T53,"A100")</f>
        <v>19</v>
      </c>
      <c r="U58" s="337">
        <f>COUNTIFS(U4:U53,"A100")</f>
        <v>20</v>
      </c>
      <c r="V58" s="337">
        <f>COUNTIFS(V4:V53,"A100")</f>
        <v>19</v>
      </c>
      <c r="W58" s="337">
        <f>COUNTIFS(W4:W53,"A100")</f>
        <v>22</v>
      </c>
      <c r="X58" s="337">
        <f>COUNTIFS(H4:H53,"A100")</f>
        <v>23</v>
      </c>
      <c r="Y58" s="337">
        <f>COUNTIFS(Y4:Y53,"A100")</f>
        <v>21</v>
      </c>
      <c r="Z58" s="337">
        <f>COUNTIFS(Z4:Z53,"A100")</f>
        <v>18</v>
      </c>
      <c r="AA58" s="337">
        <f>COUNTIFS(AA4:AA53,"A100")</f>
        <v>19</v>
      </c>
      <c r="AB58" s="337">
        <f>COUNTIFS(AH4:AH53,"A100")</f>
        <v>19</v>
      </c>
      <c r="AC58" s="337">
        <f t="shared" ref="AC58:AI58" si="1">COUNTIFS(AC4:AC53,"A100")</f>
        <v>22</v>
      </c>
      <c r="AD58" s="337">
        <f t="shared" si="1"/>
        <v>22</v>
      </c>
      <c r="AE58" s="337">
        <f t="shared" si="1"/>
        <v>25</v>
      </c>
      <c r="AF58" s="337">
        <f t="shared" si="1"/>
        <v>21</v>
      </c>
      <c r="AG58" s="337">
        <f t="shared" si="1"/>
        <v>17</v>
      </c>
      <c r="AH58" s="337">
        <f t="shared" si="1"/>
        <v>19</v>
      </c>
      <c r="AI58" s="337">
        <f t="shared" si="1"/>
        <v>21</v>
      </c>
      <c r="AJ58" s="337"/>
    </row>
    <row r="59" spans="2:41" ht="15" thickBot="1" x14ac:dyDescent="0.25">
      <c r="B59" s="356"/>
      <c r="C59" s="357"/>
      <c r="D59" s="357"/>
      <c r="E59" s="35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338"/>
      <c r="AB59" s="338"/>
      <c r="AC59" s="338"/>
      <c r="AD59" s="338"/>
      <c r="AE59" s="338"/>
      <c r="AF59" s="338"/>
      <c r="AG59" s="338"/>
      <c r="AH59" s="338"/>
      <c r="AI59" s="338"/>
      <c r="AJ59" s="338"/>
    </row>
    <row r="60" spans="2:41" ht="15" thickBot="1" x14ac:dyDescent="0.25">
      <c r="B60" s="1"/>
      <c r="C60" s="1"/>
      <c r="D60" s="1"/>
      <c r="E60" s="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O60" s="274"/>
    </row>
    <row r="61" spans="2:41" x14ac:dyDescent="0.2">
      <c r="B61" s="339" t="s">
        <v>22</v>
      </c>
      <c r="C61" s="340"/>
      <c r="D61" s="340"/>
      <c r="E61" s="341"/>
      <c r="F61" s="337">
        <f t="shared" ref="F61:W61" si="2">COUNTIFS(F4:F53,"A600")</f>
        <v>5</v>
      </c>
      <c r="G61" s="337">
        <f t="shared" si="2"/>
        <v>4</v>
      </c>
      <c r="H61" s="337">
        <f t="shared" si="2"/>
        <v>5</v>
      </c>
      <c r="I61" s="337">
        <f t="shared" si="2"/>
        <v>5</v>
      </c>
      <c r="J61" s="337">
        <f t="shared" si="2"/>
        <v>6</v>
      </c>
      <c r="K61" s="337">
        <f t="shared" si="2"/>
        <v>5</v>
      </c>
      <c r="L61" s="337">
        <f t="shared" si="2"/>
        <v>6</v>
      </c>
      <c r="M61" s="337">
        <f t="shared" si="2"/>
        <v>5</v>
      </c>
      <c r="N61" s="337">
        <f t="shared" si="2"/>
        <v>5</v>
      </c>
      <c r="O61" s="337">
        <f t="shared" si="2"/>
        <v>5</v>
      </c>
      <c r="P61" s="337">
        <f t="shared" si="2"/>
        <v>5</v>
      </c>
      <c r="Q61" s="337">
        <f t="shared" si="2"/>
        <v>6</v>
      </c>
      <c r="R61" s="337">
        <f t="shared" si="2"/>
        <v>5</v>
      </c>
      <c r="S61" s="337">
        <f t="shared" si="2"/>
        <v>6</v>
      </c>
      <c r="T61" s="337">
        <f t="shared" si="2"/>
        <v>5</v>
      </c>
      <c r="U61" s="337">
        <f t="shared" si="2"/>
        <v>6</v>
      </c>
      <c r="V61" s="337">
        <f t="shared" si="2"/>
        <v>6</v>
      </c>
      <c r="W61" s="337">
        <f t="shared" si="2"/>
        <v>6</v>
      </c>
      <c r="X61" s="337">
        <f>COUNTIFS(H4:H53,"A600")</f>
        <v>5</v>
      </c>
      <c r="Y61" s="337">
        <f>COUNTIFS(Y4:Y53,"A600")</f>
        <v>5</v>
      </c>
      <c r="Z61" s="337">
        <f>COUNTIFS(Z4:Z53,"A600")</f>
        <v>8</v>
      </c>
      <c r="AA61" s="337">
        <f>COUNTIFS(AA4:AA53,"A600")</f>
        <v>6</v>
      </c>
      <c r="AB61" s="337">
        <f>COUNTIFS(AH4:AH53,"A600")</f>
        <v>6</v>
      </c>
      <c r="AC61" s="337">
        <f t="shared" ref="AC61:AI61" si="3">COUNTIFS(AC4:AC53,"A600")</f>
        <v>4</v>
      </c>
      <c r="AD61" s="337">
        <f t="shared" si="3"/>
        <v>6</v>
      </c>
      <c r="AE61" s="337">
        <f t="shared" si="3"/>
        <v>3</v>
      </c>
      <c r="AF61" s="337">
        <f t="shared" si="3"/>
        <v>7</v>
      </c>
      <c r="AG61" s="337">
        <f t="shared" si="3"/>
        <v>6</v>
      </c>
      <c r="AH61" s="337">
        <f t="shared" si="3"/>
        <v>6</v>
      </c>
      <c r="AI61" s="337">
        <f t="shared" si="3"/>
        <v>5</v>
      </c>
      <c r="AJ61" s="337"/>
    </row>
    <row r="62" spans="2:41" ht="15" thickBot="1" x14ac:dyDescent="0.25">
      <c r="B62" s="342"/>
      <c r="C62" s="343"/>
      <c r="D62" s="343"/>
      <c r="E62" s="344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38"/>
      <c r="AI62" s="338"/>
      <c r="AJ62" s="338"/>
    </row>
    <row r="63" spans="2:41" ht="15" thickBot="1" x14ac:dyDescent="0.25">
      <c r="B63" s="1"/>
      <c r="C63" s="1"/>
      <c r="D63" s="1"/>
      <c r="E63" s="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2:41" x14ac:dyDescent="0.2">
      <c r="B64" s="333" t="s">
        <v>10</v>
      </c>
      <c r="C64" s="334"/>
      <c r="D64" s="334"/>
      <c r="E64" s="334"/>
      <c r="F64" s="331">
        <f t="shared" ref="F64:W64" si="4">COUNTIFS(F4:F53,"A900")</f>
        <v>15</v>
      </c>
      <c r="G64" s="331">
        <f t="shared" si="4"/>
        <v>15</v>
      </c>
      <c r="H64" s="331">
        <f t="shared" si="4"/>
        <v>12</v>
      </c>
      <c r="I64" s="331">
        <f t="shared" si="4"/>
        <v>14</v>
      </c>
      <c r="J64" s="331">
        <f t="shared" si="4"/>
        <v>18</v>
      </c>
      <c r="K64" s="331">
        <f t="shared" si="4"/>
        <v>14</v>
      </c>
      <c r="L64" s="331">
        <f t="shared" si="4"/>
        <v>15</v>
      </c>
      <c r="M64" s="331">
        <f t="shared" si="4"/>
        <v>14</v>
      </c>
      <c r="N64" s="331">
        <f t="shared" si="4"/>
        <v>13</v>
      </c>
      <c r="O64" s="331">
        <f t="shared" si="4"/>
        <v>14</v>
      </c>
      <c r="P64" s="331">
        <f t="shared" si="4"/>
        <v>12</v>
      </c>
      <c r="Q64" s="331">
        <f t="shared" si="4"/>
        <v>15</v>
      </c>
      <c r="R64" s="331">
        <f t="shared" si="4"/>
        <v>13</v>
      </c>
      <c r="S64" s="331">
        <f t="shared" si="4"/>
        <v>13</v>
      </c>
      <c r="T64" s="331">
        <f t="shared" si="4"/>
        <v>13</v>
      </c>
      <c r="U64" s="331">
        <f t="shared" si="4"/>
        <v>14</v>
      </c>
      <c r="V64" s="331">
        <f t="shared" si="4"/>
        <v>15</v>
      </c>
      <c r="W64" s="331">
        <f t="shared" si="4"/>
        <v>12</v>
      </c>
      <c r="X64" s="331">
        <f>COUNTIFS(H4:H53,"A900")</f>
        <v>12</v>
      </c>
      <c r="Y64" s="331">
        <f>COUNTIFS(Y4:Y53,"A900")</f>
        <v>15</v>
      </c>
      <c r="Z64" s="331">
        <f>COUNTIFS(Z4:Z53,"A900")</f>
        <v>14</v>
      </c>
      <c r="AA64" s="331">
        <f>COUNTIFS(AA4:AA53,"A900")</f>
        <v>14</v>
      </c>
      <c r="AB64" s="331">
        <f>COUNTIFS(AH4:AH53,"A900")</f>
        <v>15</v>
      </c>
      <c r="AC64" s="331">
        <f t="shared" ref="AC64:AI64" si="5">COUNTIFS(AC4:AC53,"A900")</f>
        <v>13</v>
      </c>
      <c r="AD64" s="331">
        <f t="shared" si="5"/>
        <v>12</v>
      </c>
      <c r="AE64" s="331">
        <f t="shared" si="5"/>
        <v>13</v>
      </c>
      <c r="AF64" s="331">
        <f t="shared" si="5"/>
        <v>13</v>
      </c>
      <c r="AG64" s="331">
        <f t="shared" si="5"/>
        <v>14</v>
      </c>
      <c r="AH64" s="331">
        <f t="shared" si="5"/>
        <v>15</v>
      </c>
      <c r="AI64" s="331">
        <f t="shared" si="5"/>
        <v>15</v>
      </c>
      <c r="AJ64" s="331"/>
    </row>
    <row r="65" spans="2:36" ht="15" thickBot="1" x14ac:dyDescent="0.25">
      <c r="B65" s="335"/>
      <c r="C65" s="336"/>
      <c r="D65" s="336"/>
      <c r="E65" s="336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  <c r="AA65" s="332"/>
      <c r="AB65" s="332"/>
      <c r="AC65" s="332"/>
      <c r="AD65" s="332"/>
      <c r="AE65" s="332"/>
      <c r="AF65" s="332"/>
      <c r="AG65" s="332"/>
      <c r="AH65" s="332"/>
      <c r="AI65" s="332"/>
      <c r="AJ65" s="332"/>
    </row>
  </sheetData>
  <mergeCells count="100">
    <mergeCell ref="AJ64:AJ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X64:X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AI61:AI62"/>
    <mergeCell ref="AJ61:AJ62"/>
    <mergeCell ref="B64:E65"/>
    <mergeCell ref="F64:F65"/>
    <mergeCell ref="G64:G65"/>
    <mergeCell ref="H64:H65"/>
    <mergeCell ref="I64:I65"/>
    <mergeCell ref="J64:J65"/>
    <mergeCell ref="K64:K65"/>
    <mergeCell ref="L64:L65"/>
    <mergeCell ref="AC61:AC62"/>
    <mergeCell ref="AD61:AD62"/>
    <mergeCell ref="AE61:AE62"/>
    <mergeCell ref="AF61:AF62"/>
    <mergeCell ref="AG61:AG62"/>
    <mergeCell ref="AH61:AH62"/>
    <mergeCell ref="AB61:AB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P61:P62"/>
    <mergeCell ref="B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AJ58:AJ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X58:X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L58:L59"/>
    <mergeCell ref="B2:B3"/>
    <mergeCell ref="C2:C3"/>
    <mergeCell ref="D2:D3"/>
    <mergeCell ref="E2:E3"/>
    <mergeCell ref="B58:E59"/>
    <mergeCell ref="F58:F59"/>
    <mergeCell ref="G58:G59"/>
    <mergeCell ref="H58:H59"/>
    <mergeCell ref="I58:I59"/>
    <mergeCell ref="J58:J59"/>
    <mergeCell ref="K58:K5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C64F-A705-41FE-BC67-59408CD977E7}">
  <dimension ref="B1:AJ65"/>
  <sheetViews>
    <sheetView workbookViewId="0">
      <selection activeCell="F57" sqref="F57"/>
    </sheetView>
  </sheetViews>
  <sheetFormatPr defaultRowHeight="14.25" x14ac:dyDescent="0.2"/>
  <cols>
    <col min="3" max="3" width="13" bestFit="1" customWidth="1"/>
    <col min="5" max="5" width="11" bestFit="1" customWidth="1"/>
  </cols>
  <sheetData>
    <row r="1" spans="2:36" ht="15" thickBot="1" x14ac:dyDescent="0.25"/>
    <row r="2" spans="2:36" x14ac:dyDescent="0.2">
      <c r="B2" s="345" t="s">
        <v>0</v>
      </c>
      <c r="C2" s="347" t="s">
        <v>1</v>
      </c>
      <c r="D2" s="349" t="s">
        <v>2</v>
      </c>
      <c r="E2" s="351" t="s">
        <v>3</v>
      </c>
      <c r="F2" s="317" t="s">
        <v>132</v>
      </c>
      <c r="G2" s="317" t="s">
        <v>133</v>
      </c>
      <c r="H2" s="318" t="s">
        <v>134</v>
      </c>
      <c r="I2" s="319" t="s">
        <v>135</v>
      </c>
      <c r="J2" s="317" t="s">
        <v>136</v>
      </c>
      <c r="K2" s="317" t="s">
        <v>130</v>
      </c>
      <c r="L2" s="317" t="s">
        <v>131</v>
      </c>
      <c r="M2" s="317" t="s">
        <v>132</v>
      </c>
      <c r="N2" s="317" t="s">
        <v>133</v>
      </c>
      <c r="O2" s="318" t="s">
        <v>134</v>
      </c>
      <c r="P2" s="319" t="s">
        <v>135</v>
      </c>
      <c r="Q2" s="317" t="s">
        <v>136</v>
      </c>
      <c r="R2" s="317" t="s">
        <v>130</v>
      </c>
      <c r="S2" s="317" t="s">
        <v>131</v>
      </c>
      <c r="T2" s="317" t="s">
        <v>132</v>
      </c>
      <c r="U2" s="317" t="s">
        <v>133</v>
      </c>
      <c r="V2" s="318" t="s">
        <v>134</v>
      </c>
      <c r="W2" s="319" t="s">
        <v>135</v>
      </c>
      <c r="X2" s="317" t="s">
        <v>136</v>
      </c>
      <c r="Y2" s="317" t="s">
        <v>130</v>
      </c>
      <c r="Z2" s="317" t="s">
        <v>131</v>
      </c>
      <c r="AA2" s="317" t="s">
        <v>132</v>
      </c>
      <c r="AB2" s="317" t="s">
        <v>133</v>
      </c>
      <c r="AC2" s="318" t="s">
        <v>134</v>
      </c>
      <c r="AD2" s="319" t="s">
        <v>135</v>
      </c>
      <c r="AE2" s="317" t="s">
        <v>136</v>
      </c>
      <c r="AF2" s="317" t="s">
        <v>130</v>
      </c>
      <c r="AG2" s="317" t="s">
        <v>131</v>
      </c>
      <c r="AH2" s="317" t="s">
        <v>132</v>
      </c>
      <c r="AI2" s="317" t="s">
        <v>133</v>
      </c>
      <c r="AJ2" s="318" t="s">
        <v>134</v>
      </c>
    </row>
    <row r="3" spans="2:36" x14ac:dyDescent="0.2">
      <c r="B3" s="346"/>
      <c r="C3" s="348"/>
      <c r="D3" s="350"/>
      <c r="E3" s="352"/>
      <c r="F3" s="21">
        <v>46296</v>
      </c>
      <c r="G3" s="21">
        <v>46297</v>
      </c>
      <c r="H3" s="21">
        <v>46298</v>
      </c>
      <c r="I3" s="21">
        <v>46299</v>
      </c>
      <c r="J3" s="21">
        <v>46300</v>
      </c>
      <c r="K3" s="21">
        <v>46301</v>
      </c>
      <c r="L3" s="21">
        <v>46302</v>
      </c>
      <c r="M3" s="21">
        <v>46303</v>
      </c>
      <c r="N3" s="21">
        <v>46304</v>
      </c>
      <c r="O3" s="21">
        <v>46305</v>
      </c>
      <c r="P3" s="21">
        <v>46306</v>
      </c>
      <c r="Q3" s="21">
        <v>46307</v>
      </c>
      <c r="R3" s="21">
        <v>46308</v>
      </c>
      <c r="S3" s="21">
        <v>46309</v>
      </c>
      <c r="T3" s="21">
        <v>46310</v>
      </c>
      <c r="U3" s="21">
        <v>46311</v>
      </c>
      <c r="V3" s="21">
        <v>46312</v>
      </c>
      <c r="W3" s="21">
        <v>46313</v>
      </c>
      <c r="X3" s="21">
        <v>46314</v>
      </c>
      <c r="Y3" s="21">
        <v>46315</v>
      </c>
      <c r="Z3" s="21">
        <v>46316</v>
      </c>
      <c r="AA3" s="21">
        <v>46317</v>
      </c>
      <c r="AB3" s="21">
        <v>46318</v>
      </c>
      <c r="AC3" s="21">
        <v>46319</v>
      </c>
      <c r="AD3" s="21">
        <v>46320</v>
      </c>
      <c r="AE3" s="21">
        <v>46321</v>
      </c>
      <c r="AF3" s="21">
        <v>46322</v>
      </c>
      <c r="AG3" s="21">
        <v>46323</v>
      </c>
      <c r="AH3" s="21">
        <v>46324</v>
      </c>
      <c r="AI3" s="21">
        <v>46325</v>
      </c>
      <c r="AJ3" s="21">
        <v>46326</v>
      </c>
    </row>
    <row r="4" spans="2:36" x14ac:dyDescent="0.2">
      <c r="B4" s="82">
        <v>7470175</v>
      </c>
      <c r="C4" s="83" t="s">
        <v>4</v>
      </c>
      <c r="D4" s="30" t="s">
        <v>5</v>
      </c>
      <c r="E4" s="123" t="s">
        <v>6</v>
      </c>
      <c r="F4" s="320"/>
      <c r="G4" s="320"/>
      <c r="H4" s="320"/>
      <c r="I4" s="320"/>
      <c r="J4" s="206" t="s">
        <v>116</v>
      </c>
      <c r="K4" s="320"/>
      <c r="L4" s="320"/>
      <c r="M4" s="320"/>
      <c r="N4" s="320"/>
      <c r="O4" s="320"/>
      <c r="P4" s="320"/>
      <c r="Q4" s="206" t="s">
        <v>116</v>
      </c>
      <c r="R4" s="321"/>
      <c r="S4" s="321"/>
      <c r="T4" s="233"/>
      <c r="U4" s="233"/>
      <c r="V4" s="322"/>
      <c r="W4" s="322"/>
      <c r="X4" s="206" t="s">
        <v>116</v>
      </c>
      <c r="Y4" s="322"/>
      <c r="Z4" s="322"/>
      <c r="AA4" s="322"/>
      <c r="AB4" s="322"/>
      <c r="AC4" s="322"/>
      <c r="AD4" s="206" t="s">
        <v>116</v>
      </c>
      <c r="AE4" s="321"/>
      <c r="AF4" s="320"/>
      <c r="AG4" s="320"/>
      <c r="AH4" s="320"/>
      <c r="AI4" s="320"/>
      <c r="AJ4" s="320"/>
    </row>
    <row r="5" spans="2:36" x14ac:dyDescent="0.2">
      <c r="B5" s="61">
        <v>6199259</v>
      </c>
      <c r="C5" s="62" t="s">
        <v>11</v>
      </c>
      <c r="D5" s="63" t="s">
        <v>12</v>
      </c>
      <c r="E5" s="22" t="s">
        <v>13</v>
      </c>
      <c r="F5" s="322"/>
      <c r="G5" s="322"/>
      <c r="H5" s="322"/>
      <c r="I5" s="322"/>
      <c r="J5" s="322"/>
      <c r="K5" s="206" t="s">
        <v>116</v>
      </c>
      <c r="L5" s="322"/>
      <c r="M5" s="322"/>
      <c r="N5" s="322"/>
      <c r="O5" s="322"/>
      <c r="P5" s="322"/>
      <c r="Q5" s="322"/>
      <c r="R5" s="206" t="s">
        <v>116</v>
      </c>
      <c r="S5" s="320"/>
      <c r="T5" s="320"/>
      <c r="U5" s="320"/>
      <c r="V5" s="320"/>
      <c r="W5" s="320"/>
      <c r="X5" s="320"/>
      <c r="Y5" s="206" t="s">
        <v>116</v>
      </c>
      <c r="Z5" s="320"/>
      <c r="AA5" s="320"/>
      <c r="AB5" s="233" t="s">
        <v>8</v>
      </c>
      <c r="AC5" s="320"/>
      <c r="AD5" s="320"/>
      <c r="AE5" s="206" t="s">
        <v>116</v>
      </c>
      <c r="AF5" s="321"/>
      <c r="AG5" s="322"/>
      <c r="AH5" s="322"/>
      <c r="AI5" s="322"/>
      <c r="AJ5" s="322"/>
    </row>
    <row r="6" spans="2:36" x14ac:dyDescent="0.2">
      <c r="B6" s="64" t="s">
        <v>14</v>
      </c>
      <c r="C6" s="65" t="s">
        <v>15</v>
      </c>
      <c r="D6" s="66" t="s">
        <v>16</v>
      </c>
      <c r="E6" s="23" t="s">
        <v>6</v>
      </c>
      <c r="F6" s="321"/>
      <c r="G6" s="322"/>
      <c r="H6" s="322"/>
      <c r="I6" s="322"/>
      <c r="J6" s="322"/>
      <c r="K6" s="322"/>
      <c r="L6" s="206" t="s">
        <v>116</v>
      </c>
      <c r="M6" s="322"/>
      <c r="N6" s="322"/>
      <c r="O6" s="322"/>
      <c r="P6" s="322"/>
      <c r="Q6" s="322"/>
      <c r="R6" s="233" t="s">
        <v>8</v>
      </c>
      <c r="S6" s="206" t="s">
        <v>116</v>
      </c>
      <c r="T6" s="320"/>
      <c r="U6" s="320"/>
      <c r="V6" s="320"/>
      <c r="W6" s="320"/>
      <c r="X6" s="320"/>
      <c r="Y6" s="320"/>
      <c r="Z6" s="206" t="s">
        <v>116</v>
      </c>
      <c r="AA6" s="320"/>
      <c r="AB6" s="320"/>
      <c r="AC6" s="320"/>
      <c r="AD6" s="320"/>
      <c r="AE6" s="320"/>
      <c r="AF6" s="206" t="s">
        <v>116</v>
      </c>
      <c r="AG6" s="321"/>
      <c r="AH6" s="322"/>
      <c r="AI6" s="322"/>
      <c r="AJ6" s="322"/>
    </row>
    <row r="7" spans="2:36" x14ac:dyDescent="0.2">
      <c r="B7" s="39">
        <v>5999351</v>
      </c>
      <c r="C7" s="40" t="s">
        <v>18</v>
      </c>
      <c r="D7" s="67" t="s">
        <v>19</v>
      </c>
      <c r="E7" s="8" t="s">
        <v>13</v>
      </c>
      <c r="F7" s="206" t="s">
        <v>116</v>
      </c>
      <c r="G7" s="321"/>
      <c r="H7" s="320"/>
      <c r="I7" s="320"/>
      <c r="J7" s="320"/>
      <c r="K7" s="320"/>
      <c r="L7" s="320"/>
      <c r="M7" s="206" t="s">
        <v>116</v>
      </c>
      <c r="N7" s="320"/>
      <c r="O7" s="320"/>
      <c r="P7" s="320"/>
      <c r="Q7" s="320"/>
      <c r="R7" s="320"/>
      <c r="S7" s="322"/>
      <c r="T7" s="206" t="s">
        <v>116</v>
      </c>
      <c r="U7" s="322"/>
      <c r="V7" s="322"/>
      <c r="W7" s="322"/>
      <c r="X7" s="322"/>
      <c r="Y7" s="322"/>
      <c r="Z7" s="322"/>
      <c r="AA7" s="206" t="s">
        <v>116</v>
      </c>
      <c r="AB7" s="322"/>
      <c r="AC7" s="322"/>
      <c r="AD7" s="322"/>
      <c r="AE7" s="322"/>
      <c r="AF7" s="322"/>
      <c r="AG7" s="206" t="s">
        <v>116</v>
      </c>
      <c r="AH7" s="321"/>
      <c r="AI7" s="233"/>
      <c r="AJ7" s="320"/>
    </row>
    <row r="8" spans="2:36" ht="15" thickBot="1" x14ac:dyDescent="0.25">
      <c r="B8" s="68">
        <v>7755071</v>
      </c>
      <c r="C8" s="69" t="s">
        <v>20</v>
      </c>
      <c r="D8" s="29" t="s">
        <v>21</v>
      </c>
      <c r="E8" s="29" t="s">
        <v>6</v>
      </c>
      <c r="F8" s="238" t="s">
        <v>22</v>
      </c>
      <c r="G8" s="238" t="s">
        <v>22</v>
      </c>
      <c r="H8" s="206" t="s">
        <v>116</v>
      </c>
      <c r="I8" s="238" t="s">
        <v>22</v>
      </c>
      <c r="J8" s="238" t="s">
        <v>22</v>
      </c>
      <c r="K8" s="238" t="s">
        <v>22</v>
      </c>
      <c r="L8" s="238" t="s">
        <v>22</v>
      </c>
      <c r="M8" s="238" t="s">
        <v>22</v>
      </c>
      <c r="N8" s="238" t="s">
        <v>22</v>
      </c>
      <c r="O8" s="206" t="s">
        <v>116</v>
      </c>
      <c r="P8" s="238" t="s">
        <v>22</v>
      </c>
      <c r="Q8" s="238" t="s">
        <v>22</v>
      </c>
      <c r="R8" s="238" t="s">
        <v>22</v>
      </c>
      <c r="S8" s="238" t="s">
        <v>22</v>
      </c>
      <c r="T8" s="238" t="s">
        <v>22</v>
      </c>
      <c r="U8" s="238" t="s">
        <v>22</v>
      </c>
      <c r="V8" s="206" t="s">
        <v>116</v>
      </c>
      <c r="W8" s="238" t="s">
        <v>22</v>
      </c>
      <c r="X8" s="238" t="s">
        <v>22</v>
      </c>
      <c r="Y8" s="238" t="s">
        <v>22</v>
      </c>
      <c r="Z8" s="238" t="s">
        <v>22</v>
      </c>
      <c r="AA8" s="238" t="s">
        <v>22</v>
      </c>
      <c r="AB8" s="206" t="s">
        <v>116</v>
      </c>
      <c r="AC8" s="238" t="s">
        <v>22</v>
      </c>
      <c r="AD8" s="238" t="s">
        <v>22</v>
      </c>
      <c r="AE8" s="238" t="s">
        <v>22</v>
      </c>
      <c r="AF8" s="238" t="s">
        <v>22</v>
      </c>
      <c r="AG8" s="238" t="s">
        <v>22</v>
      </c>
      <c r="AH8" s="238" t="s">
        <v>22</v>
      </c>
      <c r="AI8" s="206" t="s">
        <v>116</v>
      </c>
      <c r="AJ8" s="238" t="s">
        <v>22</v>
      </c>
    </row>
    <row r="9" spans="2:36" x14ac:dyDescent="0.2">
      <c r="B9" s="70">
        <v>7763969</v>
      </c>
      <c r="C9" s="71" t="s">
        <v>23</v>
      </c>
      <c r="D9" s="72" t="s">
        <v>117</v>
      </c>
      <c r="E9" s="72" t="s">
        <v>24</v>
      </c>
      <c r="F9" s="320"/>
      <c r="G9" s="320"/>
      <c r="H9" s="206" t="s">
        <v>116</v>
      </c>
      <c r="I9" s="320"/>
      <c r="J9" s="320"/>
      <c r="K9" s="320"/>
      <c r="L9" s="320"/>
      <c r="M9" s="320"/>
      <c r="N9" s="320"/>
      <c r="O9" s="206" t="s">
        <v>116</v>
      </c>
      <c r="P9" s="320"/>
      <c r="Q9" s="323"/>
      <c r="R9" s="320"/>
      <c r="S9" s="320"/>
      <c r="T9" s="320"/>
      <c r="U9" s="320"/>
      <c r="V9" s="206" t="s">
        <v>116</v>
      </c>
      <c r="W9" s="322"/>
      <c r="X9" s="322"/>
      <c r="Y9" s="322"/>
      <c r="Z9" s="322"/>
      <c r="AA9" s="322"/>
      <c r="AB9" s="206" t="s">
        <v>116</v>
      </c>
      <c r="AC9" s="321"/>
      <c r="AD9" s="322"/>
      <c r="AE9" s="322"/>
      <c r="AF9" s="322"/>
      <c r="AG9" s="322"/>
      <c r="AH9" s="322"/>
      <c r="AI9" s="206" t="s">
        <v>116</v>
      </c>
      <c r="AJ9" s="322"/>
    </row>
    <row r="10" spans="2:36" x14ac:dyDescent="0.2">
      <c r="B10" s="27">
        <v>7827209</v>
      </c>
      <c r="C10" s="13" t="s">
        <v>25</v>
      </c>
      <c r="D10" s="12" t="s">
        <v>26</v>
      </c>
      <c r="E10" s="12" t="s">
        <v>27</v>
      </c>
      <c r="F10" s="320"/>
      <c r="G10" s="320"/>
      <c r="H10" s="206" t="s">
        <v>116</v>
      </c>
      <c r="I10" s="320"/>
      <c r="J10" s="320"/>
      <c r="K10" s="320"/>
      <c r="L10" s="320"/>
      <c r="M10" s="320"/>
      <c r="N10" s="320"/>
      <c r="O10" s="206" t="s">
        <v>116</v>
      </c>
      <c r="P10" s="324"/>
      <c r="Q10" s="322"/>
      <c r="R10" s="322"/>
      <c r="S10" s="322"/>
      <c r="T10" s="322"/>
      <c r="U10" s="322"/>
      <c r="V10" s="206" t="s">
        <v>116</v>
      </c>
      <c r="W10" s="320"/>
      <c r="X10" s="320"/>
      <c r="Y10" s="320"/>
      <c r="Z10" s="320"/>
      <c r="AA10" s="320"/>
      <c r="AB10" s="206" t="s">
        <v>116</v>
      </c>
      <c r="AC10" s="321"/>
      <c r="AD10" s="320"/>
      <c r="AE10" s="320"/>
      <c r="AF10" s="320"/>
      <c r="AG10" s="320"/>
      <c r="AH10" s="320"/>
      <c r="AI10" s="206" t="s">
        <v>116</v>
      </c>
      <c r="AJ10" s="320"/>
    </row>
    <row r="11" spans="2:36" x14ac:dyDescent="0.2">
      <c r="B11" s="27">
        <v>7408435</v>
      </c>
      <c r="C11" s="13" t="s">
        <v>28</v>
      </c>
      <c r="D11" s="12" t="s">
        <v>29</v>
      </c>
      <c r="E11" s="12" t="s">
        <v>24</v>
      </c>
      <c r="F11" s="320"/>
      <c r="G11" s="320"/>
      <c r="H11" s="206" t="s">
        <v>116</v>
      </c>
      <c r="I11" s="320"/>
      <c r="J11" s="320"/>
      <c r="K11" s="320"/>
      <c r="L11" s="320"/>
      <c r="M11" s="320"/>
      <c r="N11" s="320"/>
      <c r="O11" s="206" t="s">
        <v>116</v>
      </c>
      <c r="P11" s="324"/>
      <c r="Q11" s="322"/>
      <c r="R11" s="322"/>
      <c r="S11" s="322"/>
      <c r="T11" s="322"/>
      <c r="U11" s="322"/>
      <c r="V11" s="206" t="s">
        <v>116</v>
      </c>
      <c r="W11" s="320"/>
      <c r="X11" s="320"/>
      <c r="Y11" s="320"/>
      <c r="Z11" s="320"/>
      <c r="AA11" s="320"/>
      <c r="AB11" s="206" t="s">
        <v>116</v>
      </c>
      <c r="AC11" s="321"/>
      <c r="AD11" s="320"/>
      <c r="AE11" s="320"/>
      <c r="AF11" s="320"/>
      <c r="AG11" s="320"/>
      <c r="AH11" s="320"/>
      <c r="AI11" s="206" t="s">
        <v>116</v>
      </c>
      <c r="AJ11" s="320"/>
    </row>
    <row r="12" spans="2:36" x14ac:dyDescent="0.2">
      <c r="B12" s="27">
        <v>7863829</v>
      </c>
      <c r="C12" s="13" t="s">
        <v>30</v>
      </c>
      <c r="D12" s="12" t="s">
        <v>31</v>
      </c>
      <c r="E12" s="12" t="s">
        <v>27</v>
      </c>
      <c r="F12" s="320"/>
      <c r="G12" s="320"/>
      <c r="H12" s="206" t="s">
        <v>116</v>
      </c>
      <c r="I12" s="322"/>
      <c r="J12" s="322"/>
      <c r="K12" s="322"/>
      <c r="L12" s="322"/>
      <c r="M12" s="322"/>
      <c r="N12" s="322"/>
      <c r="O12" s="206" t="s">
        <v>116</v>
      </c>
      <c r="P12" s="322"/>
      <c r="Q12" s="322"/>
      <c r="R12" s="322"/>
      <c r="S12" s="322"/>
      <c r="T12" s="322"/>
      <c r="U12" s="322"/>
      <c r="V12" s="206" t="s">
        <v>116</v>
      </c>
      <c r="W12" s="322"/>
      <c r="X12" s="322"/>
      <c r="Y12" s="322"/>
      <c r="Z12" s="322"/>
      <c r="AA12" s="322"/>
      <c r="AB12" s="206" t="s">
        <v>116</v>
      </c>
      <c r="AC12" s="321"/>
      <c r="AD12" s="322"/>
      <c r="AE12" s="322"/>
      <c r="AF12" s="322"/>
      <c r="AG12" s="322"/>
      <c r="AH12" s="322"/>
      <c r="AI12" s="206" t="s">
        <v>116</v>
      </c>
      <c r="AJ12" s="320"/>
    </row>
    <row r="13" spans="2:36" x14ac:dyDescent="0.2">
      <c r="B13" s="27">
        <v>7864531</v>
      </c>
      <c r="C13" s="13" t="s">
        <v>32</v>
      </c>
      <c r="D13" s="12" t="s">
        <v>33</v>
      </c>
      <c r="E13" s="12" t="s">
        <v>24</v>
      </c>
      <c r="F13" s="320"/>
      <c r="G13" s="320"/>
      <c r="H13" s="206" t="s">
        <v>116</v>
      </c>
      <c r="I13" s="322"/>
      <c r="J13" s="322"/>
      <c r="K13" s="322"/>
      <c r="L13" s="322"/>
      <c r="M13" s="322"/>
      <c r="N13" s="322"/>
      <c r="O13" s="206" t="s">
        <v>116</v>
      </c>
      <c r="P13" s="320"/>
      <c r="Q13" s="320"/>
      <c r="R13" s="320"/>
      <c r="S13" s="320"/>
      <c r="T13" s="320"/>
      <c r="U13" s="320"/>
      <c r="V13" s="206" t="s">
        <v>116</v>
      </c>
      <c r="W13" s="320"/>
      <c r="X13" s="320"/>
      <c r="Y13" s="320"/>
      <c r="Z13" s="320"/>
      <c r="AA13" s="320"/>
      <c r="AB13" s="206" t="s">
        <v>116</v>
      </c>
      <c r="AC13" s="321"/>
      <c r="AD13" s="320"/>
      <c r="AE13" s="320"/>
      <c r="AF13" s="320"/>
      <c r="AG13" s="233"/>
      <c r="AH13" s="321"/>
      <c r="AI13" s="206" t="s">
        <v>116</v>
      </c>
      <c r="AJ13" s="322"/>
    </row>
    <row r="14" spans="2:36" ht="15" thickBot="1" x14ac:dyDescent="0.25">
      <c r="B14" s="73">
        <v>7916515</v>
      </c>
      <c r="C14" s="74" t="s">
        <v>34</v>
      </c>
      <c r="D14" s="75" t="s">
        <v>35</v>
      </c>
      <c r="E14" s="76" t="s">
        <v>27</v>
      </c>
      <c r="F14" s="322"/>
      <c r="G14" s="322"/>
      <c r="H14" s="206" t="s">
        <v>116</v>
      </c>
      <c r="I14" s="320"/>
      <c r="J14" s="320"/>
      <c r="K14" s="320"/>
      <c r="L14" s="320"/>
      <c r="M14" s="320"/>
      <c r="N14" s="320"/>
      <c r="O14" s="206" t="s">
        <v>116</v>
      </c>
      <c r="P14" s="233"/>
      <c r="Q14" s="320"/>
      <c r="R14" s="320"/>
      <c r="S14" s="320"/>
      <c r="T14" s="320"/>
      <c r="U14" s="320"/>
      <c r="V14" s="206" t="s">
        <v>116</v>
      </c>
      <c r="W14" s="322"/>
      <c r="X14" s="322"/>
      <c r="Y14" s="322"/>
      <c r="Z14" s="322"/>
      <c r="AA14" s="322"/>
      <c r="AB14" s="206" t="s">
        <v>116</v>
      </c>
      <c r="AC14" s="321"/>
      <c r="AD14" s="322"/>
      <c r="AE14" s="322"/>
      <c r="AF14" s="322"/>
      <c r="AG14" s="322"/>
      <c r="AH14" s="322"/>
      <c r="AI14" s="206" t="s">
        <v>116</v>
      </c>
      <c r="AJ14" s="322"/>
    </row>
    <row r="15" spans="2:36" x14ac:dyDescent="0.2">
      <c r="B15" s="77">
        <v>7597374</v>
      </c>
      <c r="C15" s="78" t="s">
        <v>36</v>
      </c>
      <c r="D15" s="79" t="s">
        <v>37</v>
      </c>
      <c r="E15" s="79" t="s">
        <v>24</v>
      </c>
      <c r="F15" s="320"/>
      <c r="G15" s="320"/>
      <c r="H15" s="320"/>
      <c r="I15" s="206" t="s">
        <v>116</v>
      </c>
      <c r="J15" s="320"/>
      <c r="K15" s="321"/>
      <c r="L15" s="321"/>
      <c r="M15" s="233"/>
      <c r="N15" s="320"/>
      <c r="O15" s="320"/>
      <c r="P15" s="206" t="s">
        <v>116</v>
      </c>
      <c r="Q15" s="233"/>
      <c r="R15" s="322"/>
      <c r="S15" s="322"/>
      <c r="T15" s="322"/>
      <c r="U15" s="322"/>
      <c r="V15" s="322"/>
      <c r="W15" s="206" t="s">
        <v>116</v>
      </c>
      <c r="X15" s="320"/>
      <c r="Y15" s="320"/>
      <c r="Z15" s="320"/>
      <c r="AA15" s="320"/>
      <c r="AB15" s="320"/>
      <c r="AC15" s="206" t="s">
        <v>116</v>
      </c>
      <c r="AD15" s="321"/>
      <c r="AE15" s="320"/>
      <c r="AF15" s="320"/>
      <c r="AG15" s="320"/>
      <c r="AH15" s="320"/>
      <c r="AI15" s="320"/>
      <c r="AJ15" s="206" t="s">
        <v>116</v>
      </c>
    </row>
    <row r="16" spans="2:36" x14ac:dyDescent="0.2">
      <c r="B16" s="80">
        <v>7828240</v>
      </c>
      <c r="C16" s="81" t="s">
        <v>38</v>
      </c>
      <c r="D16" s="28" t="s">
        <v>39</v>
      </c>
      <c r="E16" s="28" t="s">
        <v>24</v>
      </c>
      <c r="F16" s="322"/>
      <c r="G16" s="322"/>
      <c r="H16" s="322"/>
      <c r="I16" s="206" t="s">
        <v>116</v>
      </c>
      <c r="J16" s="320"/>
      <c r="K16" s="320"/>
      <c r="L16" s="320"/>
      <c r="M16" s="320"/>
      <c r="N16" s="320"/>
      <c r="O16" s="320"/>
      <c r="P16" s="206" t="s">
        <v>116</v>
      </c>
      <c r="Q16" s="320"/>
      <c r="R16" s="320"/>
      <c r="S16" s="320"/>
      <c r="T16" s="320"/>
      <c r="U16" s="320"/>
      <c r="V16" s="320"/>
      <c r="W16" s="206" t="s">
        <v>116</v>
      </c>
      <c r="X16" s="320"/>
      <c r="Y16" s="320"/>
      <c r="Z16" s="320"/>
      <c r="AA16" s="320"/>
      <c r="AB16" s="233" t="s">
        <v>8</v>
      </c>
      <c r="AC16" s="206" t="s">
        <v>116</v>
      </c>
      <c r="AD16" s="233" t="s">
        <v>9</v>
      </c>
      <c r="AE16" s="320"/>
      <c r="AF16" s="320"/>
      <c r="AG16" s="320"/>
      <c r="AH16" s="320"/>
      <c r="AI16" s="320"/>
      <c r="AJ16" s="206" t="s">
        <v>116</v>
      </c>
    </row>
    <row r="17" spans="2:36" x14ac:dyDescent="0.2">
      <c r="B17" s="80">
        <v>7837148</v>
      </c>
      <c r="C17" s="81" t="s">
        <v>40</v>
      </c>
      <c r="D17" s="28" t="s">
        <v>41</v>
      </c>
      <c r="E17" s="28" t="s">
        <v>24</v>
      </c>
      <c r="F17" s="320"/>
      <c r="G17" s="320"/>
      <c r="H17" s="320"/>
      <c r="I17" s="206" t="s">
        <v>116</v>
      </c>
      <c r="J17" s="322"/>
      <c r="K17" s="322"/>
      <c r="L17" s="322"/>
      <c r="M17" s="322"/>
      <c r="N17" s="322"/>
      <c r="O17" s="233" t="s">
        <v>9</v>
      </c>
      <c r="P17" s="206" t="s">
        <v>116</v>
      </c>
      <c r="Q17" s="233" t="s">
        <v>9</v>
      </c>
      <c r="R17" s="233" t="s">
        <v>8</v>
      </c>
      <c r="S17" s="233"/>
      <c r="T17" s="320"/>
      <c r="U17" s="320"/>
      <c r="V17" s="320"/>
      <c r="W17" s="206" t="s">
        <v>116</v>
      </c>
      <c r="X17" s="320"/>
      <c r="Y17" s="320"/>
      <c r="Z17" s="320"/>
      <c r="AA17" s="320"/>
      <c r="AB17" s="320"/>
      <c r="AC17" s="206" t="s">
        <v>116</v>
      </c>
      <c r="AD17" s="321"/>
      <c r="AE17" s="320"/>
      <c r="AF17" s="320"/>
      <c r="AG17" s="320"/>
      <c r="AH17" s="320"/>
      <c r="AI17" s="320"/>
      <c r="AJ17" s="206" t="s">
        <v>116</v>
      </c>
    </row>
    <row r="18" spans="2:36" x14ac:dyDescent="0.2">
      <c r="B18" s="80">
        <v>7589910</v>
      </c>
      <c r="C18" s="81" t="s">
        <v>42</v>
      </c>
      <c r="D18" s="28" t="s">
        <v>43</v>
      </c>
      <c r="E18" s="28" t="s">
        <v>24</v>
      </c>
      <c r="F18" s="322"/>
      <c r="G18" s="322"/>
      <c r="H18" s="322"/>
      <c r="I18" s="206" t="s">
        <v>116</v>
      </c>
      <c r="J18" s="320"/>
      <c r="K18" s="320"/>
      <c r="L18" s="320"/>
      <c r="M18" s="320"/>
      <c r="N18" s="320"/>
      <c r="O18" s="320"/>
      <c r="P18" s="206" t="s">
        <v>116</v>
      </c>
      <c r="Q18" s="320"/>
      <c r="R18" s="320"/>
      <c r="S18" s="233" t="s">
        <v>9</v>
      </c>
      <c r="T18" s="233" t="s">
        <v>9</v>
      </c>
      <c r="U18" s="233" t="s">
        <v>120</v>
      </c>
      <c r="V18" s="233" t="s">
        <v>120</v>
      </c>
      <c r="W18" s="231" t="s">
        <v>116</v>
      </c>
      <c r="X18" s="320"/>
      <c r="Y18" s="320"/>
      <c r="Z18" s="320"/>
      <c r="AA18" s="320"/>
      <c r="AB18" s="320"/>
      <c r="AC18" s="206" t="s">
        <v>116</v>
      </c>
      <c r="AD18" s="321"/>
      <c r="AE18" s="320"/>
      <c r="AF18" s="320"/>
      <c r="AG18" s="320"/>
      <c r="AH18" s="320"/>
      <c r="AI18" s="320"/>
      <c r="AJ18" s="206" t="s">
        <v>116</v>
      </c>
    </row>
    <row r="19" spans="2:36" x14ac:dyDescent="0.2">
      <c r="B19" s="80">
        <v>7697747</v>
      </c>
      <c r="C19" s="81" t="s">
        <v>44</v>
      </c>
      <c r="D19" s="28" t="s">
        <v>118</v>
      </c>
      <c r="E19" s="28" t="s">
        <v>24</v>
      </c>
      <c r="F19" s="320"/>
      <c r="G19" s="320"/>
      <c r="H19" s="320"/>
      <c r="I19" s="206" t="s">
        <v>116</v>
      </c>
      <c r="J19" s="322"/>
      <c r="K19" s="322"/>
      <c r="L19" s="322"/>
      <c r="M19" s="322"/>
      <c r="N19" s="322"/>
      <c r="O19" s="233" t="s">
        <v>9</v>
      </c>
      <c r="P19" s="206" t="s">
        <v>116</v>
      </c>
      <c r="Q19" s="233" t="s">
        <v>9</v>
      </c>
      <c r="R19" s="233" t="s">
        <v>8</v>
      </c>
      <c r="S19" s="320"/>
      <c r="T19" s="320"/>
      <c r="U19" s="320"/>
      <c r="V19" s="320"/>
      <c r="W19" s="206" t="s">
        <v>116</v>
      </c>
      <c r="X19" s="320"/>
      <c r="Y19" s="320"/>
      <c r="Z19" s="320"/>
      <c r="AA19" s="320"/>
      <c r="AB19" s="320"/>
      <c r="AC19" s="206" t="s">
        <v>116</v>
      </c>
      <c r="AD19" s="321"/>
      <c r="AE19" s="320"/>
      <c r="AF19" s="320"/>
      <c r="AG19" s="320"/>
      <c r="AH19" s="320"/>
      <c r="AI19" s="320"/>
      <c r="AJ19" s="206" t="s">
        <v>116</v>
      </c>
    </row>
    <row r="20" spans="2:36" x14ac:dyDescent="0.2">
      <c r="B20" s="80">
        <v>7870420</v>
      </c>
      <c r="C20" s="81" t="s">
        <v>45</v>
      </c>
      <c r="D20" s="28" t="s">
        <v>46</v>
      </c>
      <c r="E20" s="28" t="s">
        <v>24</v>
      </c>
      <c r="F20" s="320"/>
      <c r="G20" s="320"/>
      <c r="H20" s="320"/>
      <c r="I20" s="206" t="s">
        <v>116</v>
      </c>
      <c r="J20" s="320"/>
      <c r="K20" s="320"/>
      <c r="L20" s="320"/>
      <c r="M20" s="320"/>
      <c r="N20" s="320"/>
      <c r="O20" s="320"/>
      <c r="P20" s="206" t="s">
        <v>116</v>
      </c>
      <c r="Q20" s="322"/>
      <c r="R20" s="233"/>
      <c r="S20" s="322"/>
      <c r="T20" s="322"/>
      <c r="U20" s="322"/>
      <c r="V20" s="322"/>
      <c r="W20" s="206" t="s">
        <v>116</v>
      </c>
      <c r="X20" s="320"/>
      <c r="Y20" s="320"/>
      <c r="Z20" s="320"/>
      <c r="AA20" s="320"/>
      <c r="AB20" s="320"/>
      <c r="AC20" s="206" t="s">
        <v>116</v>
      </c>
      <c r="AD20" s="321"/>
      <c r="AE20" s="322"/>
      <c r="AF20" s="322"/>
      <c r="AG20" s="322"/>
      <c r="AH20" s="322"/>
      <c r="AI20" s="322"/>
      <c r="AJ20" s="206" t="s">
        <v>116</v>
      </c>
    </row>
    <row r="21" spans="2:36" x14ac:dyDescent="0.2">
      <c r="B21" s="24">
        <v>7471068</v>
      </c>
      <c r="C21" s="25" t="s">
        <v>47</v>
      </c>
      <c r="D21" s="26" t="s">
        <v>48</v>
      </c>
      <c r="E21" s="26" t="s">
        <v>24</v>
      </c>
      <c r="F21" s="322"/>
      <c r="G21" s="322"/>
      <c r="H21" s="322"/>
      <c r="I21" s="206" t="s">
        <v>116</v>
      </c>
      <c r="J21" s="320"/>
      <c r="K21" s="320"/>
      <c r="L21" s="320"/>
      <c r="M21" s="320"/>
      <c r="N21" s="320"/>
      <c r="O21" s="320"/>
      <c r="P21" s="206" t="s">
        <v>116</v>
      </c>
      <c r="Q21" s="320"/>
      <c r="R21" s="320"/>
      <c r="S21" s="233" t="s">
        <v>9</v>
      </c>
      <c r="T21" s="233" t="s">
        <v>9</v>
      </c>
      <c r="U21" s="233" t="s">
        <v>120</v>
      </c>
      <c r="V21" s="233" t="s">
        <v>120</v>
      </c>
      <c r="W21" s="206" t="s">
        <v>116</v>
      </c>
      <c r="X21" s="320"/>
      <c r="Y21" s="320"/>
      <c r="Z21" s="320"/>
      <c r="AA21" s="320"/>
      <c r="AB21" s="320"/>
      <c r="AC21" s="206" t="s">
        <v>116</v>
      </c>
      <c r="AD21" s="321"/>
      <c r="AE21" s="320"/>
      <c r="AF21" s="320"/>
      <c r="AG21" s="320"/>
      <c r="AH21" s="320"/>
      <c r="AI21" s="320"/>
      <c r="AJ21" s="206" t="s">
        <v>116</v>
      </c>
    </row>
    <row r="22" spans="2:36" x14ac:dyDescent="0.2">
      <c r="B22" s="80">
        <v>7908832</v>
      </c>
      <c r="C22" s="81" t="s">
        <v>49</v>
      </c>
      <c r="D22" s="28" t="s">
        <v>50</v>
      </c>
      <c r="E22" s="28" t="s">
        <v>27</v>
      </c>
      <c r="F22" s="322"/>
      <c r="G22" s="322"/>
      <c r="H22" s="322"/>
      <c r="I22" s="206" t="s">
        <v>116</v>
      </c>
      <c r="J22" s="320"/>
      <c r="K22" s="320"/>
      <c r="L22" s="320"/>
      <c r="M22" s="320"/>
      <c r="N22" s="320"/>
      <c r="O22" s="320"/>
      <c r="P22" s="206" t="s">
        <v>116</v>
      </c>
      <c r="Q22" s="320"/>
      <c r="R22" s="320"/>
      <c r="S22" s="233" t="s">
        <v>9</v>
      </c>
      <c r="T22" s="233" t="s">
        <v>120</v>
      </c>
      <c r="U22" s="233" t="s">
        <v>120</v>
      </c>
      <c r="V22" s="233" t="s">
        <v>120</v>
      </c>
      <c r="W22" s="206" t="s">
        <v>116</v>
      </c>
      <c r="X22" s="320"/>
      <c r="Y22" s="320"/>
      <c r="Z22" s="320"/>
      <c r="AA22" s="320"/>
      <c r="AB22" s="320"/>
      <c r="AC22" s="206" t="s">
        <v>116</v>
      </c>
      <c r="AD22" s="321"/>
      <c r="AE22" s="320"/>
      <c r="AF22" s="320"/>
      <c r="AG22" s="320"/>
      <c r="AH22" s="320"/>
      <c r="AI22" s="320"/>
      <c r="AJ22" s="206" t="s">
        <v>116</v>
      </c>
    </row>
    <row r="23" spans="2:36" ht="15" thickBot="1" x14ac:dyDescent="0.25">
      <c r="B23" s="68">
        <v>7897545</v>
      </c>
      <c r="C23" s="69" t="s">
        <v>51</v>
      </c>
      <c r="D23" s="29" t="s">
        <v>52</v>
      </c>
      <c r="E23" s="29" t="s">
        <v>24</v>
      </c>
      <c r="F23" s="246"/>
      <c r="G23" s="246"/>
      <c r="H23" s="246"/>
      <c r="I23" s="246"/>
      <c r="J23" s="206"/>
      <c r="K23" s="246"/>
      <c r="L23" s="246"/>
      <c r="M23" s="246"/>
      <c r="N23" s="246"/>
      <c r="O23" s="246"/>
      <c r="P23" s="246"/>
      <c r="Q23" s="246"/>
      <c r="R23" s="246"/>
      <c r="S23" s="206"/>
      <c r="T23" s="246"/>
      <c r="U23" s="246"/>
      <c r="V23" s="246"/>
      <c r="W23" s="246"/>
      <c r="X23" s="246"/>
      <c r="Y23" s="246"/>
      <c r="Z23" s="246"/>
      <c r="AA23" s="246"/>
      <c r="AB23" s="233"/>
      <c r="AC23" s="206"/>
      <c r="AD23" s="325"/>
      <c r="AE23" s="325"/>
      <c r="AF23" s="325"/>
      <c r="AG23" s="206"/>
      <c r="AH23" s="325"/>
      <c r="AI23" s="325"/>
      <c r="AJ23" s="206"/>
    </row>
    <row r="24" spans="2:36" x14ac:dyDescent="0.2">
      <c r="B24" s="82">
        <v>5956003</v>
      </c>
      <c r="C24" s="83" t="s">
        <v>53</v>
      </c>
      <c r="D24" s="30" t="s">
        <v>54</v>
      </c>
      <c r="E24" s="30" t="s">
        <v>24</v>
      </c>
      <c r="F24" s="320"/>
      <c r="G24" s="320"/>
      <c r="H24" s="320"/>
      <c r="I24" s="320"/>
      <c r="J24" s="206" t="s">
        <v>116</v>
      </c>
      <c r="K24" s="322"/>
      <c r="L24" s="322"/>
      <c r="M24" s="322"/>
      <c r="N24" s="322"/>
      <c r="O24" s="322"/>
      <c r="P24" s="322"/>
      <c r="Q24" s="206" t="s">
        <v>116</v>
      </c>
      <c r="R24" s="322"/>
      <c r="S24" s="322"/>
      <c r="T24" s="322"/>
      <c r="U24" s="322"/>
      <c r="V24" s="322"/>
      <c r="W24" s="322"/>
      <c r="X24" s="206" t="s">
        <v>116</v>
      </c>
      <c r="Y24" s="320"/>
      <c r="Z24" s="320"/>
      <c r="AA24" s="320"/>
      <c r="AB24" s="320"/>
      <c r="AC24" s="320"/>
      <c r="AD24" s="206" t="s">
        <v>116</v>
      </c>
      <c r="AE24" s="321"/>
      <c r="AF24" s="320"/>
      <c r="AG24" s="320"/>
      <c r="AH24" s="320"/>
      <c r="AI24" s="320"/>
      <c r="AJ24" s="233"/>
    </row>
    <row r="25" spans="2:36" x14ac:dyDescent="0.2">
      <c r="B25" s="31">
        <v>7815844</v>
      </c>
      <c r="C25" s="32" t="s">
        <v>55</v>
      </c>
      <c r="D25" s="33" t="s">
        <v>56</v>
      </c>
      <c r="E25" s="33" t="s">
        <v>24</v>
      </c>
      <c r="F25" s="320"/>
      <c r="G25" s="320"/>
      <c r="H25" s="320"/>
      <c r="I25" s="320"/>
      <c r="J25" s="206" t="s">
        <v>116</v>
      </c>
      <c r="K25" s="320"/>
      <c r="L25" s="320"/>
      <c r="M25" s="320"/>
      <c r="N25" s="320"/>
      <c r="O25" s="320"/>
      <c r="P25" s="320"/>
      <c r="Q25" s="206" t="s">
        <v>116</v>
      </c>
      <c r="R25" s="320"/>
      <c r="S25" s="320"/>
      <c r="T25" s="320"/>
      <c r="U25" s="320"/>
      <c r="V25" s="320"/>
      <c r="W25" s="320"/>
      <c r="X25" s="206" t="s">
        <v>116</v>
      </c>
      <c r="Y25" s="322"/>
      <c r="Z25" s="322"/>
      <c r="AA25" s="322"/>
      <c r="AB25" s="322"/>
      <c r="AC25" s="322"/>
      <c r="AD25" s="206" t="s">
        <v>116</v>
      </c>
      <c r="AE25" s="321"/>
      <c r="AF25" s="320"/>
      <c r="AG25" s="320"/>
      <c r="AH25" s="320"/>
      <c r="AI25" s="320"/>
      <c r="AJ25" s="320"/>
    </row>
    <row r="26" spans="2:36" x14ac:dyDescent="0.2">
      <c r="B26" s="31">
        <v>5012880</v>
      </c>
      <c r="C26" s="32" t="s">
        <v>57</v>
      </c>
      <c r="D26" s="33" t="s">
        <v>58</v>
      </c>
      <c r="E26" s="33" t="s">
        <v>24</v>
      </c>
      <c r="F26" s="320"/>
      <c r="G26" s="320"/>
      <c r="H26" s="320"/>
      <c r="I26" s="320"/>
      <c r="J26" s="206" t="s">
        <v>116</v>
      </c>
      <c r="K26" s="322"/>
      <c r="L26" s="322"/>
      <c r="M26" s="233"/>
      <c r="N26" s="233"/>
      <c r="O26" s="322"/>
      <c r="P26" s="322"/>
      <c r="Q26" s="206" t="s">
        <v>116</v>
      </c>
      <c r="R26" s="320"/>
      <c r="S26" s="320"/>
      <c r="T26" s="320"/>
      <c r="U26" s="320"/>
      <c r="V26" s="320"/>
      <c r="W26" s="320"/>
      <c r="X26" s="206" t="s">
        <v>116</v>
      </c>
      <c r="Y26" s="320"/>
      <c r="Z26" s="320"/>
      <c r="AA26" s="320"/>
      <c r="AB26" s="320"/>
      <c r="AC26" s="320"/>
      <c r="AD26" s="206" t="s">
        <v>116</v>
      </c>
      <c r="AE26" s="321"/>
      <c r="AF26" s="320"/>
      <c r="AG26" s="320"/>
      <c r="AH26" s="320"/>
      <c r="AI26" s="320"/>
      <c r="AJ26" s="320"/>
    </row>
    <row r="27" spans="2:36" x14ac:dyDescent="0.2">
      <c r="B27" s="31">
        <v>7743929</v>
      </c>
      <c r="C27" s="32" t="s">
        <v>59</v>
      </c>
      <c r="D27" s="33" t="s">
        <v>60</v>
      </c>
      <c r="E27" s="33" t="s">
        <v>24</v>
      </c>
      <c r="F27" s="320"/>
      <c r="G27" s="320"/>
      <c r="H27" s="320"/>
      <c r="I27" s="320"/>
      <c r="J27" s="206" t="s">
        <v>116</v>
      </c>
      <c r="K27" s="320"/>
      <c r="L27" s="320"/>
      <c r="M27" s="320"/>
      <c r="N27" s="320"/>
      <c r="O27" s="320"/>
      <c r="P27" s="320"/>
      <c r="Q27" s="206" t="s">
        <v>116</v>
      </c>
      <c r="R27" s="320"/>
      <c r="S27" s="320"/>
      <c r="T27" s="320"/>
      <c r="U27" s="320"/>
      <c r="V27" s="320"/>
      <c r="W27" s="320"/>
      <c r="X27" s="206" t="s">
        <v>116</v>
      </c>
      <c r="Y27" s="320"/>
      <c r="Z27" s="320"/>
      <c r="AA27" s="320"/>
      <c r="AB27" s="320"/>
      <c r="AC27" s="320"/>
      <c r="AD27" s="206" t="s">
        <v>116</v>
      </c>
      <c r="AE27" s="321"/>
      <c r="AF27" s="320"/>
      <c r="AG27" s="320"/>
      <c r="AH27" s="320"/>
      <c r="AI27" s="320"/>
      <c r="AJ27" s="320"/>
    </row>
    <row r="28" spans="2:36" x14ac:dyDescent="0.2">
      <c r="B28" s="31">
        <v>7804315</v>
      </c>
      <c r="C28" s="32" t="s">
        <v>61</v>
      </c>
      <c r="D28" s="33" t="s">
        <v>62</v>
      </c>
      <c r="E28" s="33" t="s">
        <v>27</v>
      </c>
      <c r="F28" s="322"/>
      <c r="G28" s="322"/>
      <c r="H28" s="322"/>
      <c r="I28" s="322"/>
      <c r="J28" s="206" t="s">
        <v>116</v>
      </c>
      <c r="K28" s="320"/>
      <c r="L28" s="320"/>
      <c r="M28" s="320"/>
      <c r="N28" s="320"/>
      <c r="O28" s="320"/>
      <c r="P28" s="233"/>
      <c r="Q28" s="206" t="s">
        <v>116</v>
      </c>
      <c r="R28" s="320"/>
      <c r="S28" s="320"/>
      <c r="T28" s="320"/>
      <c r="U28" s="320"/>
      <c r="V28" s="320"/>
      <c r="W28" s="320"/>
      <c r="X28" s="206" t="s">
        <v>116</v>
      </c>
      <c r="Y28" s="320"/>
      <c r="Z28" s="320"/>
      <c r="AA28" s="320"/>
      <c r="AB28" s="320"/>
      <c r="AC28" s="320"/>
      <c r="AD28" s="206" t="s">
        <v>116</v>
      </c>
      <c r="AE28" s="321"/>
      <c r="AF28" s="322"/>
      <c r="AG28" s="322"/>
      <c r="AH28" s="322"/>
      <c r="AI28" s="322"/>
      <c r="AJ28" s="322"/>
    </row>
    <row r="29" spans="2:36" x14ac:dyDescent="0.2">
      <c r="B29" s="31">
        <v>7804355</v>
      </c>
      <c r="C29" s="32" t="s">
        <v>63</v>
      </c>
      <c r="D29" s="33" t="s">
        <v>64</v>
      </c>
      <c r="E29" s="33" t="s">
        <v>24</v>
      </c>
      <c r="F29" s="320"/>
      <c r="G29" s="320"/>
      <c r="H29" s="320"/>
      <c r="I29" s="320"/>
      <c r="J29" s="206" t="s">
        <v>116</v>
      </c>
      <c r="K29" s="320"/>
      <c r="L29" s="320"/>
      <c r="M29" s="320"/>
      <c r="N29" s="320"/>
      <c r="O29" s="320"/>
      <c r="P29" s="320"/>
      <c r="Q29" s="206" t="s">
        <v>116</v>
      </c>
      <c r="R29" s="320"/>
      <c r="S29" s="320"/>
      <c r="T29" s="320"/>
      <c r="U29" s="320"/>
      <c r="V29" s="320"/>
      <c r="W29" s="320"/>
      <c r="X29" s="206" t="s">
        <v>116</v>
      </c>
      <c r="Y29" s="322"/>
      <c r="Z29" s="322"/>
      <c r="AA29" s="322"/>
      <c r="AB29" s="322"/>
      <c r="AC29" s="322"/>
      <c r="AD29" s="206" t="s">
        <v>116</v>
      </c>
      <c r="AE29" s="321"/>
      <c r="AF29" s="320"/>
      <c r="AG29" s="320"/>
      <c r="AH29" s="320"/>
      <c r="AI29" s="320"/>
      <c r="AJ29" s="320"/>
    </row>
    <row r="30" spans="2:36" x14ac:dyDescent="0.2">
      <c r="B30" s="31">
        <v>5828232</v>
      </c>
      <c r="C30" s="32" t="s">
        <v>65</v>
      </c>
      <c r="D30" s="33" t="s">
        <v>66</v>
      </c>
      <c r="E30" s="33" t="s">
        <v>24</v>
      </c>
      <c r="F30" s="320"/>
      <c r="G30" s="320"/>
      <c r="H30" s="320"/>
      <c r="I30" s="320"/>
      <c r="J30" s="206" t="s">
        <v>116</v>
      </c>
      <c r="K30" s="320"/>
      <c r="L30" s="320"/>
      <c r="M30" s="320"/>
      <c r="N30" s="320"/>
      <c r="O30" s="320"/>
      <c r="P30" s="233"/>
      <c r="Q30" s="206" t="s">
        <v>116</v>
      </c>
      <c r="R30" s="322"/>
      <c r="S30" s="322"/>
      <c r="T30" s="322"/>
      <c r="U30" s="322"/>
      <c r="V30" s="322"/>
      <c r="W30" s="322"/>
      <c r="X30" s="206" t="s">
        <v>116</v>
      </c>
      <c r="Y30" s="322"/>
      <c r="Z30" s="322"/>
      <c r="AA30" s="322"/>
      <c r="AB30" s="322"/>
      <c r="AC30" s="322"/>
      <c r="AD30" s="206" t="s">
        <v>116</v>
      </c>
      <c r="AE30" s="321"/>
      <c r="AF30" s="322"/>
      <c r="AG30" s="322"/>
      <c r="AH30" s="322"/>
      <c r="AI30" s="322"/>
      <c r="AJ30" s="322"/>
    </row>
    <row r="31" spans="2:36" ht="15" thickBot="1" x14ac:dyDescent="0.25">
      <c r="B31" s="34">
        <v>7904754</v>
      </c>
      <c r="C31" s="35" t="s">
        <v>67</v>
      </c>
      <c r="D31" s="36" t="s">
        <v>68</v>
      </c>
      <c r="E31" s="36" t="s">
        <v>24</v>
      </c>
      <c r="F31" s="320"/>
      <c r="G31" s="320"/>
      <c r="H31" s="320"/>
      <c r="I31" s="320"/>
      <c r="J31" s="206" t="s">
        <v>116</v>
      </c>
      <c r="K31" s="320"/>
      <c r="L31" s="320"/>
      <c r="M31" s="320"/>
      <c r="N31" s="320"/>
      <c r="O31" s="320"/>
      <c r="P31" s="320"/>
      <c r="Q31" s="206" t="s">
        <v>116</v>
      </c>
      <c r="R31" s="320"/>
      <c r="S31" s="320"/>
      <c r="T31" s="320"/>
      <c r="U31" s="320"/>
      <c r="V31" s="320"/>
      <c r="W31" s="320"/>
      <c r="X31" s="206" t="s">
        <v>116</v>
      </c>
      <c r="Y31" s="322"/>
      <c r="Z31" s="322"/>
      <c r="AA31" s="322"/>
      <c r="AB31" s="322"/>
      <c r="AC31" s="322"/>
      <c r="AD31" s="206" t="s">
        <v>116</v>
      </c>
      <c r="AE31" s="321"/>
      <c r="AF31" s="320"/>
      <c r="AG31" s="320"/>
      <c r="AH31" s="233"/>
      <c r="AI31" s="233"/>
      <c r="AJ31" s="233"/>
    </row>
    <row r="32" spans="2:36" x14ac:dyDescent="0.2">
      <c r="B32" s="124" t="s">
        <v>69</v>
      </c>
      <c r="C32" s="125" t="s">
        <v>70</v>
      </c>
      <c r="D32" s="126" t="s">
        <v>71</v>
      </c>
      <c r="E32" s="37" t="s">
        <v>24</v>
      </c>
      <c r="F32" s="322"/>
      <c r="G32" s="322"/>
      <c r="H32" s="322"/>
      <c r="I32" s="322"/>
      <c r="J32" s="322"/>
      <c r="K32" s="206" t="s">
        <v>116</v>
      </c>
      <c r="L32" s="320"/>
      <c r="M32" s="320"/>
      <c r="N32" s="320"/>
      <c r="O32" s="320"/>
      <c r="P32" s="320"/>
      <c r="Q32" s="233"/>
      <c r="R32" s="206" t="s">
        <v>116</v>
      </c>
      <c r="S32" s="320"/>
      <c r="T32" s="320"/>
      <c r="U32" s="320"/>
      <c r="V32" s="320"/>
      <c r="W32" s="320"/>
      <c r="X32" s="320"/>
      <c r="Y32" s="206" t="s">
        <v>116</v>
      </c>
      <c r="Z32" s="320"/>
      <c r="AA32" s="320"/>
      <c r="AB32" s="320"/>
      <c r="AC32" s="320"/>
      <c r="AD32" s="320"/>
      <c r="AE32" s="206" t="s">
        <v>116</v>
      </c>
      <c r="AF32" s="320"/>
      <c r="AG32" s="320"/>
      <c r="AH32" s="320"/>
      <c r="AI32" s="320"/>
      <c r="AJ32" s="320"/>
    </row>
    <row r="33" spans="2:36" x14ac:dyDescent="0.2">
      <c r="B33" s="127">
        <v>7828242</v>
      </c>
      <c r="C33" s="128" t="s">
        <v>72</v>
      </c>
      <c r="D33" s="129" t="s">
        <v>73</v>
      </c>
      <c r="E33" s="22" t="s">
        <v>24</v>
      </c>
      <c r="F33" s="320"/>
      <c r="G33" s="320"/>
      <c r="H33" s="320"/>
      <c r="I33" s="320"/>
      <c r="J33" s="320"/>
      <c r="K33" s="206" t="s">
        <v>116</v>
      </c>
      <c r="L33" s="322"/>
      <c r="M33" s="322"/>
      <c r="N33" s="322"/>
      <c r="O33" s="322"/>
      <c r="P33" s="322"/>
      <c r="Q33" s="322"/>
      <c r="R33" s="206" t="s">
        <v>116</v>
      </c>
      <c r="S33" s="320"/>
      <c r="T33" s="320"/>
      <c r="U33" s="320"/>
      <c r="V33" s="320"/>
      <c r="W33" s="320"/>
      <c r="X33" s="320"/>
      <c r="Y33" s="206" t="s">
        <v>116</v>
      </c>
      <c r="Z33" s="320"/>
      <c r="AA33" s="320"/>
      <c r="AB33" s="320"/>
      <c r="AC33" s="320"/>
      <c r="AD33" s="320"/>
      <c r="AE33" s="206" t="s">
        <v>116</v>
      </c>
      <c r="AF33" s="321"/>
      <c r="AG33" s="320"/>
      <c r="AH33" s="320"/>
      <c r="AI33" s="320"/>
      <c r="AJ33" s="320"/>
    </row>
    <row r="34" spans="2:36" x14ac:dyDescent="0.2">
      <c r="B34" s="84">
        <v>6227745</v>
      </c>
      <c r="C34" s="85" t="s">
        <v>74</v>
      </c>
      <c r="D34" s="86" t="s">
        <v>75</v>
      </c>
      <c r="E34" s="22" t="s">
        <v>24</v>
      </c>
      <c r="F34" s="322"/>
      <c r="G34" s="322"/>
      <c r="H34" s="322"/>
      <c r="I34" s="322"/>
      <c r="J34" s="322"/>
      <c r="K34" s="206" t="s">
        <v>116</v>
      </c>
      <c r="L34" s="320"/>
      <c r="M34" s="320"/>
      <c r="N34" s="320"/>
      <c r="O34" s="320"/>
      <c r="P34" s="320"/>
      <c r="Q34" s="320"/>
      <c r="R34" s="206" t="s">
        <v>116</v>
      </c>
      <c r="S34" s="320"/>
      <c r="T34" s="320"/>
      <c r="U34" s="320"/>
      <c r="V34" s="320"/>
      <c r="W34" s="320"/>
      <c r="X34" s="320"/>
      <c r="Y34" s="206" t="s">
        <v>116</v>
      </c>
      <c r="Z34" s="322"/>
      <c r="AA34" s="322"/>
      <c r="AB34" s="322"/>
      <c r="AC34" s="322"/>
      <c r="AD34" s="322"/>
      <c r="AE34" s="206" t="s">
        <v>116</v>
      </c>
      <c r="AF34" s="321"/>
      <c r="AG34" s="322"/>
      <c r="AH34" s="322"/>
      <c r="AI34" s="322"/>
      <c r="AJ34" s="322"/>
    </row>
    <row r="35" spans="2:36" x14ac:dyDescent="0.2">
      <c r="B35" s="130">
        <v>7730037</v>
      </c>
      <c r="C35" s="131" t="s">
        <v>76</v>
      </c>
      <c r="D35" s="132" t="s">
        <v>77</v>
      </c>
      <c r="E35" s="133" t="s">
        <v>27</v>
      </c>
      <c r="F35" s="320"/>
      <c r="G35" s="320"/>
      <c r="H35" s="320"/>
      <c r="I35" s="320"/>
      <c r="J35" s="320"/>
      <c r="K35" s="206" t="s">
        <v>116</v>
      </c>
      <c r="L35" s="322"/>
      <c r="M35" s="322"/>
      <c r="N35" s="322"/>
      <c r="O35" s="322"/>
      <c r="P35" s="322"/>
      <c r="Q35" s="322"/>
      <c r="R35" s="206" t="s">
        <v>116</v>
      </c>
      <c r="S35" s="322"/>
      <c r="T35" s="322"/>
      <c r="U35" s="322"/>
      <c r="V35" s="322"/>
      <c r="W35" s="322"/>
      <c r="X35" s="322"/>
      <c r="Y35" s="206" t="s">
        <v>116</v>
      </c>
      <c r="Z35" s="320"/>
      <c r="AA35" s="320"/>
      <c r="AB35" s="320"/>
      <c r="AC35" s="320"/>
      <c r="AD35" s="320"/>
      <c r="AE35" s="206" t="s">
        <v>116</v>
      </c>
      <c r="AF35" s="321"/>
      <c r="AG35" s="320"/>
      <c r="AH35" s="320"/>
      <c r="AI35" s="320"/>
      <c r="AJ35" s="320"/>
    </row>
    <row r="36" spans="2:36" x14ac:dyDescent="0.2">
      <c r="B36" s="127">
        <v>7804271</v>
      </c>
      <c r="C36" s="128" t="s">
        <v>78</v>
      </c>
      <c r="D36" s="129" t="s">
        <v>79</v>
      </c>
      <c r="E36" s="22" t="s">
        <v>27</v>
      </c>
      <c r="F36" s="320"/>
      <c r="G36" s="320"/>
      <c r="H36" s="320"/>
      <c r="I36" s="320"/>
      <c r="J36" s="320"/>
      <c r="K36" s="206" t="s">
        <v>116</v>
      </c>
      <c r="L36" s="322"/>
      <c r="M36" s="322"/>
      <c r="N36" s="322"/>
      <c r="O36" s="322"/>
      <c r="P36" s="322"/>
      <c r="Q36" s="322"/>
      <c r="R36" s="206" t="s">
        <v>116</v>
      </c>
      <c r="S36" s="320"/>
      <c r="T36" s="320"/>
      <c r="U36" s="320"/>
      <c r="V36" s="320"/>
      <c r="W36" s="320"/>
      <c r="X36" s="320"/>
      <c r="Y36" s="206" t="s">
        <v>116</v>
      </c>
      <c r="Z36" s="320"/>
      <c r="AA36" s="320"/>
      <c r="AB36" s="320"/>
      <c r="AC36" s="320"/>
      <c r="AD36" s="320"/>
      <c r="AE36" s="206" t="s">
        <v>116</v>
      </c>
      <c r="AF36" s="321"/>
      <c r="AG36" s="320"/>
      <c r="AH36" s="320"/>
      <c r="AI36" s="320"/>
      <c r="AJ36" s="320"/>
    </row>
    <row r="37" spans="2:36" x14ac:dyDescent="0.2">
      <c r="B37" s="61">
        <v>7929004</v>
      </c>
      <c r="C37" s="62" t="s">
        <v>80</v>
      </c>
      <c r="D37" s="63" t="s">
        <v>81</v>
      </c>
      <c r="E37" s="87" t="s">
        <v>27</v>
      </c>
      <c r="F37" s="320"/>
      <c r="G37" s="320"/>
      <c r="H37" s="320"/>
      <c r="I37" s="320"/>
      <c r="J37" s="320"/>
      <c r="K37" s="206" t="s">
        <v>116</v>
      </c>
      <c r="L37" s="320"/>
      <c r="M37" s="320"/>
      <c r="N37" s="320"/>
      <c r="O37" s="320"/>
      <c r="P37" s="320"/>
      <c r="Q37" s="320"/>
      <c r="R37" s="206" t="s">
        <v>116</v>
      </c>
      <c r="S37" s="320"/>
      <c r="T37" s="320"/>
      <c r="U37" s="320"/>
      <c r="V37" s="320"/>
      <c r="W37" s="320"/>
      <c r="X37" s="320"/>
      <c r="Y37" s="206" t="s">
        <v>116</v>
      </c>
      <c r="Z37" s="322"/>
      <c r="AA37" s="322"/>
      <c r="AB37" s="322"/>
      <c r="AC37" s="322"/>
      <c r="AD37" s="322"/>
      <c r="AE37" s="206" t="s">
        <v>116</v>
      </c>
      <c r="AF37" s="321"/>
      <c r="AG37" s="322"/>
      <c r="AH37" s="322"/>
      <c r="AI37" s="322"/>
      <c r="AJ37" s="322"/>
    </row>
    <row r="38" spans="2:36" ht="15" thickBot="1" x14ac:dyDescent="0.25">
      <c r="B38" s="84">
        <v>7892982</v>
      </c>
      <c r="C38" s="85" t="s">
        <v>82</v>
      </c>
      <c r="D38" s="86" t="s">
        <v>83</v>
      </c>
      <c r="E38" s="22" t="s">
        <v>27</v>
      </c>
      <c r="F38" s="320"/>
      <c r="G38" s="320"/>
      <c r="H38" s="320"/>
      <c r="I38" s="320"/>
      <c r="J38" s="320"/>
      <c r="K38" s="206" t="s">
        <v>116</v>
      </c>
      <c r="L38" s="320"/>
      <c r="M38" s="320"/>
      <c r="N38" s="320"/>
      <c r="O38" s="320"/>
      <c r="P38" s="320"/>
      <c r="Q38" s="320"/>
      <c r="R38" s="206" t="s">
        <v>116</v>
      </c>
      <c r="S38" s="322"/>
      <c r="T38" s="322"/>
      <c r="U38" s="322"/>
      <c r="V38" s="322"/>
      <c r="W38" s="322"/>
      <c r="X38" s="322"/>
      <c r="Y38" s="206" t="s">
        <v>116</v>
      </c>
      <c r="Z38" s="320"/>
      <c r="AA38" s="320"/>
      <c r="AB38" s="320"/>
      <c r="AC38" s="320"/>
      <c r="AD38" s="320"/>
      <c r="AE38" s="206" t="s">
        <v>116</v>
      </c>
      <c r="AF38" s="321"/>
      <c r="AG38" s="320"/>
      <c r="AH38" s="320"/>
      <c r="AI38" s="320"/>
      <c r="AJ38" s="320"/>
    </row>
    <row r="39" spans="2:36" x14ac:dyDescent="0.2">
      <c r="B39" s="88">
        <v>7546024</v>
      </c>
      <c r="C39" s="89" t="s">
        <v>85</v>
      </c>
      <c r="D39" s="90" t="s">
        <v>86</v>
      </c>
      <c r="E39" s="91" t="s">
        <v>24</v>
      </c>
      <c r="F39" s="321"/>
      <c r="G39" s="320"/>
      <c r="H39" s="320"/>
      <c r="I39" s="320"/>
      <c r="J39" s="320"/>
      <c r="K39" s="320"/>
      <c r="L39" s="206" t="s">
        <v>116</v>
      </c>
      <c r="M39" s="320"/>
      <c r="N39" s="320"/>
      <c r="O39" s="320"/>
      <c r="P39" s="320"/>
      <c r="Q39" s="320"/>
      <c r="R39" s="320"/>
      <c r="S39" s="206" t="s">
        <v>116</v>
      </c>
      <c r="T39" s="320"/>
      <c r="U39" s="320"/>
      <c r="V39" s="320"/>
      <c r="W39" s="320"/>
      <c r="X39" s="320"/>
      <c r="Y39" s="320"/>
      <c r="Z39" s="206" t="s">
        <v>116</v>
      </c>
      <c r="AA39" s="322"/>
      <c r="AB39" s="322"/>
      <c r="AC39" s="322"/>
      <c r="AD39" s="322"/>
      <c r="AE39" s="322"/>
      <c r="AF39" s="206" t="s">
        <v>116</v>
      </c>
      <c r="AG39" s="321"/>
      <c r="AH39" s="322"/>
      <c r="AI39" s="322"/>
      <c r="AJ39" s="322"/>
    </row>
    <row r="40" spans="2:36" x14ac:dyDescent="0.2">
      <c r="B40" s="64" t="s">
        <v>87</v>
      </c>
      <c r="C40" s="65" t="s">
        <v>88</v>
      </c>
      <c r="D40" s="66" t="s">
        <v>89</v>
      </c>
      <c r="E40" s="23" t="s">
        <v>24</v>
      </c>
      <c r="F40" s="321"/>
      <c r="G40" s="322"/>
      <c r="H40" s="322"/>
      <c r="I40" s="322"/>
      <c r="J40" s="322"/>
      <c r="K40" s="322"/>
      <c r="L40" s="206" t="s">
        <v>116</v>
      </c>
      <c r="M40" s="322"/>
      <c r="N40" s="322"/>
      <c r="O40" s="322"/>
      <c r="P40" s="322"/>
      <c r="Q40" s="322"/>
      <c r="R40" s="233" t="s">
        <v>8</v>
      </c>
      <c r="S40" s="206" t="s">
        <v>116</v>
      </c>
      <c r="T40" s="320"/>
      <c r="U40" s="320"/>
      <c r="V40" s="320"/>
      <c r="W40" s="320"/>
      <c r="X40" s="320"/>
      <c r="Y40" s="320"/>
      <c r="Z40" s="206" t="s">
        <v>116</v>
      </c>
      <c r="AA40" s="320"/>
      <c r="AB40" s="320"/>
      <c r="AC40" s="320"/>
      <c r="AD40" s="320"/>
      <c r="AE40" s="320"/>
      <c r="AF40" s="206" t="s">
        <v>116</v>
      </c>
      <c r="AG40" s="321"/>
      <c r="AH40" s="322"/>
      <c r="AI40" s="322"/>
      <c r="AJ40" s="322"/>
    </row>
    <row r="41" spans="2:36" x14ac:dyDescent="0.2">
      <c r="B41" s="92">
        <v>7657458</v>
      </c>
      <c r="C41" s="65" t="s">
        <v>90</v>
      </c>
      <c r="D41" s="66" t="s">
        <v>91</v>
      </c>
      <c r="E41" s="23" t="s">
        <v>24</v>
      </c>
      <c r="F41" s="321"/>
      <c r="G41" s="320"/>
      <c r="H41" s="320"/>
      <c r="I41" s="320"/>
      <c r="J41" s="320"/>
      <c r="K41" s="320"/>
      <c r="L41" s="206" t="s">
        <v>116</v>
      </c>
      <c r="M41" s="320"/>
      <c r="N41" s="320"/>
      <c r="O41" s="320"/>
      <c r="P41" s="320"/>
      <c r="Q41" s="320"/>
      <c r="R41" s="320"/>
      <c r="S41" s="206" t="s">
        <v>116</v>
      </c>
      <c r="T41" s="322"/>
      <c r="U41" s="322"/>
      <c r="V41" s="322"/>
      <c r="W41" s="322"/>
      <c r="X41" s="322"/>
      <c r="Y41" s="322"/>
      <c r="Z41" s="206" t="s">
        <v>116</v>
      </c>
      <c r="AA41" s="320"/>
      <c r="AB41" s="320"/>
      <c r="AC41" s="320"/>
      <c r="AD41" s="320"/>
      <c r="AE41" s="320"/>
      <c r="AF41" s="206" t="s">
        <v>116</v>
      </c>
      <c r="AG41" s="321"/>
      <c r="AH41" s="233"/>
      <c r="AI41" s="233"/>
      <c r="AJ41" s="320"/>
    </row>
    <row r="42" spans="2:36" x14ac:dyDescent="0.2">
      <c r="B42" s="92">
        <v>7864530</v>
      </c>
      <c r="C42" s="65" t="s">
        <v>92</v>
      </c>
      <c r="D42" s="66" t="s">
        <v>93</v>
      </c>
      <c r="E42" s="23" t="s">
        <v>24</v>
      </c>
      <c r="F42" s="321"/>
      <c r="G42" s="320"/>
      <c r="H42" s="320"/>
      <c r="I42" s="320"/>
      <c r="J42" s="320"/>
      <c r="K42" s="320"/>
      <c r="L42" s="206" t="s">
        <v>116</v>
      </c>
      <c r="M42" s="320"/>
      <c r="N42" s="320"/>
      <c r="O42" s="320"/>
      <c r="P42" s="320"/>
      <c r="Q42" s="320"/>
      <c r="R42" s="320"/>
      <c r="S42" s="206" t="s">
        <v>116</v>
      </c>
      <c r="T42" s="322"/>
      <c r="U42" s="322"/>
      <c r="V42" s="322"/>
      <c r="W42" s="322"/>
      <c r="X42" s="322"/>
      <c r="Y42" s="322"/>
      <c r="Z42" s="206" t="s">
        <v>116</v>
      </c>
      <c r="AA42" s="320"/>
      <c r="AB42" s="320"/>
      <c r="AC42" s="320"/>
      <c r="AD42" s="320"/>
      <c r="AE42" s="320"/>
      <c r="AF42" s="206" t="s">
        <v>116</v>
      </c>
      <c r="AG42" s="321"/>
      <c r="AH42" s="233"/>
      <c r="AI42" s="233"/>
      <c r="AJ42" s="320"/>
    </row>
    <row r="43" spans="2:36" x14ac:dyDescent="0.2">
      <c r="B43" s="92">
        <v>7723497</v>
      </c>
      <c r="C43" s="65" t="s">
        <v>94</v>
      </c>
      <c r="D43" s="66" t="s">
        <v>95</v>
      </c>
      <c r="E43" s="23" t="s">
        <v>24</v>
      </c>
      <c r="F43" s="321"/>
      <c r="G43" s="322"/>
      <c r="H43" s="322"/>
      <c r="I43" s="322"/>
      <c r="J43" s="322"/>
      <c r="K43" s="322"/>
      <c r="L43" s="206" t="s">
        <v>116</v>
      </c>
      <c r="M43" s="322"/>
      <c r="N43" s="322"/>
      <c r="O43" s="322"/>
      <c r="P43" s="322"/>
      <c r="Q43" s="322"/>
      <c r="R43" s="322"/>
      <c r="S43" s="206" t="s">
        <v>116</v>
      </c>
      <c r="T43" s="320"/>
      <c r="U43" s="320"/>
      <c r="V43" s="320"/>
      <c r="W43" s="320"/>
      <c r="X43" s="320"/>
      <c r="Y43" s="320"/>
      <c r="Z43" s="206" t="s">
        <v>116</v>
      </c>
      <c r="AA43" s="320"/>
      <c r="AB43" s="320"/>
      <c r="AC43" s="320"/>
      <c r="AD43" s="320"/>
      <c r="AE43" s="320"/>
      <c r="AF43" s="206" t="s">
        <v>116</v>
      </c>
      <c r="AG43" s="321"/>
      <c r="AH43" s="320"/>
      <c r="AI43" s="320"/>
      <c r="AJ43" s="320"/>
    </row>
    <row r="44" spans="2:36" x14ac:dyDescent="0.2">
      <c r="B44" s="93">
        <v>7913980</v>
      </c>
      <c r="C44" s="94" t="s">
        <v>96</v>
      </c>
      <c r="D44" s="95" t="s">
        <v>97</v>
      </c>
      <c r="E44" s="38" t="s">
        <v>27</v>
      </c>
      <c r="F44" s="321"/>
      <c r="G44" s="322"/>
      <c r="H44" s="322"/>
      <c r="I44" s="322"/>
      <c r="J44" s="322"/>
      <c r="K44" s="322"/>
      <c r="L44" s="206" t="s">
        <v>116</v>
      </c>
      <c r="M44" s="233"/>
      <c r="N44" s="233"/>
      <c r="O44" s="233"/>
      <c r="P44" s="320"/>
      <c r="Q44" s="320"/>
      <c r="R44" s="320"/>
      <c r="S44" s="206" t="s">
        <v>116</v>
      </c>
      <c r="T44" s="320"/>
      <c r="U44" s="320"/>
      <c r="V44" s="320"/>
      <c r="W44" s="320"/>
      <c r="X44" s="320"/>
      <c r="Y44" s="320"/>
      <c r="Z44" s="206" t="s">
        <v>116</v>
      </c>
      <c r="AA44" s="322"/>
      <c r="AB44" s="322"/>
      <c r="AC44" s="322"/>
      <c r="AD44" s="322"/>
      <c r="AE44" s="322"/>
      <c r="AF44" s="206" t="s">
        <v>116</v>
      </c>
      <c r="AG44" s="321"/>
      <c r="AH44" s="322"/>
      <c r="AI44" s="322"/>
      <c r="AJ44" s="322"/>
    </row>
    <row r="45" spans="2:36" ht="15" thickBot="1" x14ac:dyDescent="0.25">
      <c r="B45" s="93">
        <v>7937200</v>
      </c>
      <c r="C45" s="94" t="s">
        <v>98</v>
      </c>
      <c r="D45" s="95" t="s">
        <v>99</v>
      </c>
      <c r="E45" s="38" t="s">
        <v>27</v>
      </c>
      <c r="F45" s="321"/>
      <c r="G45" s="320"/>
      <c r="H45" s="320"/>
      <c r="I45" s="320"/>
      <c r="J45" s="320"/>
      <c r="K45" s="320"/>
      <c r="L45" s="206" t="s">
        <v>116</v>
      </c>
      <c r="M45" s="320"/>
      <c r="N45" s="320"/>
      <c r="O45" s="320"/>
      <c r="P45" s="320"/>
      <c r="Q45" s="320"/>
      <c r="R45" s="320"/>
      <c r="S45" s="206" t="s">
        <v>116</v>
      </c>
      <c r="T45" s="322"/>
      <c r="U45" s="322"/>
      <c r="V45" s="322"/>
      <c r="W45" s="322"/>
      <c r="X45" s="322"/>
      <c r="Y45" s="322"/>
      <c r="Z45" s="206" t="s">
        <v>116</v>
      </c>
      <c r="AA45" s="233"/>
      <c r="AB45" s="233"/>
      <c r="AC45" s="320"/>
      <c r="AD45" s="320"/>
      <c r="AE45" s="320"/>
      <c r="AF45" s="206" t="s">
        <v>116</v>
      </c>
      <c r="AG45" s="321"/>
      <c r="AH45" s="320"/>
      <c r="AI45" s="320"/>
      <c r="AJ45" s="320"/>
    </row>
    <row r="46" spans="2:36" x14ac:dyDescent="0.2">
      <c r="B46" s="134">
        <v>6350655</v>
      </c>
      <c r="C46" s="135" t="s">
        <v>100</v>
      </c>
      <c r="D46" s="136" t="s">
        <v>101</v>
      </c>
      <c r="E46" s="136" t="s">
        <v>24</v>
      </c>
      <c r="F46" s="206" t="s">
        <v>116</v>
      </c>
      <c r="G46" s="321"/>
      <c r="H46" s="320"/>
      <c r="I46" s="320"/>
      <c r="J46" s="320"/>
      <c r="K46" s="320"/>
      <c r="L46" s="320"/>
      <c r="M46" s="206" t="s">
        <v>116</v>
      </c>
      <c r="N46" s="320"/>
      <c r="O46" s="320"/>
      <c r="P46" s="320"/>
      <c r="Q46" s="320"/>
      <c r="R46" s="320"/>
      <c r="S46" s="320"/>
      <c r="T46" s="206" t="s">
        <v>116</v>
      </c>
      <c r="U46" s="320"/>
      <c r="V46" s="320"/>
      <c r="W46" s="320"/>
      <c r="X46" s="320"/>
      <c r="Y46" s="320"/>
      <c r="Z46" s="320"/>
      <c r="AA46" s="206" t="s">
        <v>116</v>
      </c>
      <c r="AB46" s="320"/>
      <c r="AC46" s="320"/>
      <c r="AD46" s="320"/>
      <c r="AE46" s="320"/>
      <c r="AF46" s="320"/>
      <c r="AG46" s="206" t="s">
        <v>116</v>
      </c>
      <c r="AH46" s="321"/>
      <c r="AI46" s="320"/>
      <c r="AJ46" s="320"/>
    </row>
    <row r="47" spans="2:36" x14ac:dyDescent="0.2">
      <c r="B47" s="39">
        <v>7834830</v>
      </c>
      <c r="C47" s="40" t="s">
        <v>102</v>
      </c>
      <c r="D47" s="67" t="s">
        <v>103</v>
      </c>
      <c r="E47" s="8" t="s">
        <v>24</v>
      </c>
      <c r="F47" s="206"/>
      <c r="G47" s="321"/>
      <c r="H47" s="326"/>
      <c r="I47" s="326"/>
      <c r="J47" s="326"/>
      <c r="K47" s="326"/>
      <c r="L47" s="326"/>
      <c r="M47" s="206"/>
      <c r="N47" s="326"/>
      <c r="O47" s="326"/>
      <c r="P47" s="326"/>
      <c r="Q47" s="326"/>
      <c r="R47" s="326"/>
      <c r="S47" s="326"/>
      <c r="T47" s="206"/>
      <c r="U47" s="326"/>
      <c r="V47" s="326"/>
      <c r="W47" s="326"/>
      <c r="X47" s="326"/>
      <c r="Y47" s="326"/>
      <c r="Z47" s="326"/>
      <c r="AA47" s="206"/>
      <c r="AB47" s="326"/>
      <c r="AC47" s="326"/>
      <c r="AD47" s="326"/>
      <c r="AE47" s="326"/>
      <c r="AF47" s="326"/>
      <c r="AG47" s="206"/>
      <c r="AH47" s="321"/>
      <c r="AI47" s="326"/>
      <c r="AJ47" s="326"/>
    </row>
    <row r="48" spans="2:36" x14ac:dyDescent="0.2">
      <c r="B48" s="39">
        <v>7863826</v>
      </c>
      <c r="C48" s="40" t="s">
        <v>104</v>
      </c>
      <c r="D48" s="67" t="s">
        <v>105</v>
      </c>
      <c r="E48" s="8" t="s">
        <v>24</v>
      </c>
      <c r="F48" s="206" t="s">
        <v>116</v>
      </c>
      <c r="G48" s="321"/>
      <c r="H48" s="320"/>
      <c r="I48" s="320"/>
      <c r="J48" s="320"/>
      <c r="K48" s="320"/>
      <c r="L48" s="320"/>
      <c r="M48" s="206" t="s">
        <v>116</v>
      </c>
      <c r="N48" s="322"/>
      <c r="O48" s="322"/>
      <c r="P48" s="322"/>
      <c r="Q48" s="322"/>
      <c r="R48" s="322"/>
      <c r="S48" s="322"/>
      <c r="T48" s="206" t="s">
        <v>116</v>
      </c>
      <c r="U48" s="320"/>
      <c r="V48" s="320"/>
      <c r="W48" s="320"/>
      <c r="X48" s="320"/>
      <c r="Y48" s="320"/>
      <c r="Z48" s="320"/>
      <c r="AA48" s="206" t="s">
        <v>116</v>
      </c>
      <c r="AB48" s="322"/>
      <c r="AC48" s="322"/>
      <c r="AD48" s="322"/>
      <c r="AE48" s="322"/>
      <c r="AF48" s="322"/>
      <c r="AG48" s="206" t="s">
        <v>116</v>
      </c>
      <c r="AH48" s="321"/>
      <c r="AI48" s="322"/>
      <c r="AJ48" s="322"/>
    </row>
    <row r="49" spans="2:36" x14ac:dyDescent="0.2">
      <c r="B49" s="39">
        <v>7863822</v>
      </c>
      <c r="C49" s="40" t="s">
        <v>106</v>
      </c>
      <c r="D49" s="67" t="s">
        <v>107</v>
      </c>
      <c r="E49" s="8" t="s">
        <v>24</v>
      </c>
      <c r="F49" s="206" t="s">
        <v>116</v>
      </c>
      <c r="G49" s="321"/>
      <c r="H49" s="320"/>
      <c r="I49" s="320"/>
      <c r="J49" s="320"/>
      <c r="K49" s="320"/>
      <c r="L49" s="320"/>
      <c r="M49" s="206" t="s">
        <v>116</v>
      </c>
      <c r="N49" s="320"/>
      <c r="O49" s="320"/>
      <c r="P49" s="320"/>
      <c r="Q49" s="320"/>
      <c r="R49" s="320"/>
      <c r="S49" s="320"/>
      <c r="T49" s="206" t="s">
        <v>116</v>
      </c>
      <c r="U49" s="322"/>
      <c r="V49" s="322"/>
      <c r="W49" s="322"/>
      <c r="X49" s="322"/>
      <c r="Y49" s="322"/>
      <c r="Z49" s="322"/>
      <c r="AA49" s="206" t="s">
        <v>116</v>
      </c>
      <c r="AB49" s="322"/>
      <c r="AC49" s="322"/>
      <c r="AD49" s="322"/>
      <c r="AE49" s="322"/>
      <c r="AF49" s="322"/>
      <c r="AG49" s="206" t="s">
        <v>116</v>
      </c>
      <c r="AH49" s="321"/>
      <c r="AI49" s="320"/>
      <c r="AJ49" s="320"/>
    </row>
    <row r="50" spans="2:36" x14ac:dyDescent="0.2">
      <c r="B50" s="39">
        <v>7857835</v>
      </c>
      <c r="C50" s="40" t="s">
        <v>108</v>
      </c>
      <c r="D50" s="67" t="s">
        <v>109</v>
      </c>
      <c r="E50" s="8" t="s">
        <v>27</v>
      </c>
      <c r="F50" s="206" t="s">
        <v>116</v>
      </c>
      <c r="G50" s="321"/>
      <c r="H50" s="322"/>
      <c r="I50" s="322"/>
      <c r="J50" s="322"/>
      <c r="K50" s="322"/>
      <c r="L50" s="322"/>
      <c r="M50" s="206" t="s">
        <v>116</v>
      </c>
      <c r="N50" s="322"/>
      <c r="O50" s="322"/>
      <c r="P50" s="322"/>
      <c r="Q50" s="322"/>
      <c r="R50" s="322"/>
      <c r="S50" s="322"/>
      <c r="T50" s="206" t="s">
        <v>116</v>
      </c>
      <c r="U50" s="320"/>
      <c r="V50" s="320"/>
      <c r="W50" s="320"/>
      <c r="X50" s="320"/>
      <c r="Y50" s="320"/>
      <c r="Z50" s="320"/>
      <c r="AA50" s="206" t="s">
        <v>116</v>
      </c>
      <c r="AB50" s="322"/>
      <c r="AC50" s="322"/>
      <c r="AD50" s="322"/>
      <c r="AE50" s="322"/>
      <c r="AF50" s="322"/>
      <c r="AG50" s="206" t="s">
        <v>116</v>
      </c>
      <c r="AH50" s="321"/>
      <c r="AI50" s="322"/>
      <c r="AJ50" s="322"/>
    </row>
    <row r="51" spans="2:36" x14ac:dyDescent="0.2">
      <c r="B51" s="97">
        <v>7915365</v>
      </c>
      <c r="C51" s="98" t="s">
        <v>110</v>
      </c>
      <c r="D51" s="99" t="s">
        <v>111</v>
      </c>
      <c r="E51" s="96" t="s">
        <v>27</v>
      </c>
      <c r="F51" s="206" t="s">
        <v>116</v>
      </c>
      <c r="G51" s="321"/>
      <c r="H51" s="327"/>
      <c r="I51" s="327"/>
      <c r="J51" s="327"/>
      <c r="K51" s="327"/>
      <c r="L51" s="327"/>
      <c r="M51" s="206" t="s">
        <v>116</v>
      </c>
      <c r="N51" s="327"/>
      <c r="O51" s="327"/>
      <c r="P51" s="327"/>
      <c r="Q51" s="327"/>
      <c r="R51" s="327"/>
      <c r="S51" s="327"/>
      <c r="T51" s="206" t="s">
        <v>116</v>
      </c>
      <c r="U51" s="320"/>
      <c r="V51" s="320"/>
      <c r="W51" s="320"/>
      <c r="X51" s="320"/>
      <c r="Y51" s="320"/>
      <c r="Z51" s="320"/>
      <c r="AA51" s="206" t="s">
        <v>116</v>
      </c>
      <c r="AB51" s="320"/>
      <c r="AC51" s="320"/>
      <c r="AD51" s="320"/>
      <c r="AE51" s="320"/>
      <c r="AF51" s="320"/>
      <c r="AG51" s="206" t="s">
        <v>116</v>
      </c>
      <c r="AH51" s="321"/>
      <c r="AI51" s="327"/>
      <c r="AJ51" s="327"/>
    </row>
    <row r="52" spans="2:36" x14ac:dyDescent="0.2">
      <c r="B52" s="100">
        <v>7929011</v>
      </c>
      <c r="C52" s="101" t="s">
        <v>112</v>
      </c>
      <c r="D52" s="102" t="s">
        <v>113</v>
      </c>
      <c r="E52" s="103" t="s">
        <v>27</v>
      </c>
      <c r="F52" s="206" t="s">
        <v>116</v>
      </c>
      <c r="G52" s="321"/>
      <c r="H52" s="320"/>
      <c r="I52" s="320"/>
      <c r="J52" s="320"/>
      <c r="K52" s="320"/>
      <c r="L52" s="320"/>
      <c r="M52" s="206" t="s">
        <v>116</v>
      </c>
      <c r="N52" s="320"/>
      <c r="O52" s="320"/>
      <c r="P52" s="320"/>
      <c r="Q52" s="320"/>
      <c r="R52" s="320"/>
      <c r="S52" s="320"/>
      <c r="T52" s="206" t="s">
        <v>116</v>
      </c>
      <c r="U52" s="327"/>
      <c r="V52" s="327"/>
      <c r="W52" s="327"/>
      <c r="X52" s="327"/>
      <c r="Y52" s="327"/>
      <c r="Z52" s="327"/>
      <c r="AA52" s="206" t="s">
        <v>116</v>
      </c>
      <c r="AB52" s="327"/>
      <c r="AC52" s="327"/>
      <c r="AD52" s="327"/>
      <c r="AE52" s="327"/>
      <c r="AF52" s="327"/>
      <c r="AG52" s="206" t="s">
        <v>116</v>
      </c>
      <c r="AH52" s="321"/>
      <c r="AI52" s="320"/>
      <c r="AJ52" s="320"/>
    </row>
    <row r="53" spans="2:36" ht="15" thickBot="1" x14ac:dyDescent="0.25">
      <c r="B53" s="138">
        <v>7831441</v>
      </c>
      <c r="C53" s="137" t="s">
        <v>114</v>
      </c>
      <c r="D53" s="138" t="s">
        <v>115</v>
      </c>
      <c r="E53" s="139" t="s">
        <v>27</v>
      </c>
      <c r="F53" s="263" t="s">
        <v>116</v>
      </c>
      <c r="G53" s="328"/>
      <c r="H53" s="329"/>
      <c r="I53" s="329"/>
      <c r="J53" s="329"/>
      <c r="K53" s="329"/>
      <c r="L53" s="329"/>
      <c r="M53" s="263" t="s">
        <v>116</v>
      </c>
      <c r="N53" s="329"/>
      <c r="O53" s="329"/>
      <c r="P53" s="329"/>
      <c r="Q53" s="329"/>
      <c r="R53" s="329"/>
      <c r="S53" s="329"/>
      <c r="T53" s="263" t="s">
        <v>116</v>
      </c>
      <c r="U53" s="330"/>
      <c r="V53" s="330"/>
      <c r="W53" s="330"/>
      <c r="X53" s="330"/>
      <c r="Y53" s="330"/>
      <c r="Z53" s="330"/>
      <c r="AA53" s="263" t="s">
        <v>116</v>
      </c>
      <c r="AB53" s="329"/>
      <c r="AC53" s="329"/>
      <c r="AD53" s="329"/>
      <c r="AE53" s="329"/>
      <c r="AF53" s="329"/>
      <c r="AG53" s="263" t="s">
        <v>116</v>
      </c>
      <c r="AH53" s="328"/>
      <c r="AI53" s="329"/>
      <c r="AJ53" s="329"/>
    </row>
    <row r="54" spans="2:36" x14ac:dyDescent="0.2">
      <c r="B54" s="202">
        <v>5780782</v>
      </c>
      <c r="C54" s="203" t="s">
        <v>121</v>
      </c>
      <c r="D54" s="204" t="s">
        <v>122</v>
      </c>
      <c r="E54" s="205" t="s">
        <v>123</v>
      </c>
      <c r="F54" s="275"/>
      <c r="G54" s="276"/>
      <c r="H54" s="276"/>
      <c r="I54" s="277"/>
      <c r="J54" s="276"/>
      <c r="K54" s="276"/>
      <c r="L54" s="278"/>
      <c r="M54" s="279"/>
      <c r="N54" s="277"/>
      <c r="O54" s="277"/>
      <c r="P54" s="280"/>
      <c r="Q54" s="279"/>
      <c r="R54" s="281"/>
      <c r="S54" s="281"/>
      <c r="T54" s="281"/>
      <c r="U54" s="279"/>
      <c r="V54" s="281"/>
      <c r="W54" s="276"/>
      <c r="X54" s="276"/>
      <c r="Y54" s="282"/>
      <c r="Z54" s="276"/>
      <c r="AA54" s="279"/>
      <c r="AB54" s="282"/>
      <c r="AC54" s="276"/>
      <c r="AD54" s="276"/>
      <c r="AE54" s="276"/>
      <c r="AF54" s="276"/>
      <c r="AG54" s="276"/>
      <c r="AH54" s="279"/>
      <c r="AI54" s="276"/>
      <c r="AJ54" s="283"/>
    </row>
    <row r="55" spans="2:36" ht="15" thickBot="1" x14ac:dyDescent="0.25">
      <c r="B55" s="216">
        <v>7193333</v>
      </c>
      <c r="C55" s="217" t="s">
        <v>127</v>
      </c>
      <c r="D55" s="218" t="s">
        <v>128</v>
      </c>
      <c r="E55" s="218" t="s">
        <v>123</v>
      </c>
      <c r="F55" s="284"/>
      <c r="G55" s="285"/>
      <c r="H55" s="284"/>
      <c r="I55" s="284"/>
      <c r="J55" s="284"/>
      <c r="K55" s="284"/>
      <c r="L55" s="284"/>
      <c r="M55" s="284"/>
      <c r="N55" s="285"/>
      <c r="O55" s="284"/>
      <c r="P55" s="284"/>
      <c r="Q55" s="284"/>
      <c r="R55" s="284"/>
      <c r="S55" s="286"/>
      <c r="T55" s="284"/>
      <c r="U55" s="284"/>
      <c r="V55" s="287"/>
      <c r="W55" s="279"/>
      <c r="X55" s="284"/>
      <c r="Y55" s="284"/>
      <c r="Z55" s="284"/>
      <c r="AA55" s="284"/>
      <c r="AB55" s="284"/>
      <c r="AC55" s="284"/>
      <c r="AD55" s="285"/>
      <c r="AE55" s="284"/>
      <c r="AF55" s="284"/>
      <c r="AG55" s="284"/>
      <c r="AH55" s="284"/>
      <c r="AI55" s="284"/>
      <c r="AJ55" s="288"/>
    </row>
    <row r="56" spans="2:36" x14ac:dyDescent="0.2">
      <c r="B56" s="41"/>
      <c r="C56" s="42"/>
      <c r="D56" s="43"/>
      <c r="E56" s="43"/>
      <c r="F56" s="44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2:36" ht="15" thickBot="1" x14ac:dyDescent="0.25">
      <c r="B57" s="3"/>
      <c r="C57" s="3"/>
      <c r="D57" s="3"/>
      <c r="E57" s="3"/>
      <c r="F57" s="2">
        <v>46296</v>
      </c>
      <c r="G57" s="2">
        <v>46297</v>
      </c>
      <c r="H57" s="2">
        <v>46298</v>
      </c>
      <c r="I57" s="2">
        <v>46299</v>
      </c>
      <c r="J57" s="2">
        <v>46300</v>
      </c>
      <c r="K57" s="2">
        <v>46301</v>
      </c>
      <c r="L57" s="2">
        <v>46302</v>
      </c>
      <c r="M57" s="2">
        <v>46303</v>
      </c>
      <c r="N57" s="2">
        <v>46304</v>
      </c>
      <c r="O57" s="2">
        <v>46305</v>
      </c>
      <c r="P57" s="2">
        <v>46306</v>
      </c>
      <c r="Q57" s="2">
        <v>46307</v>
      </c>
      <c r="R57" s="2">
        <v>46308</v>
      </c>
      <c r="S57" s="2">
        <v>46309</v>
      </c>
      <c r="T57" s="2">
        <v>46310</v>
      </c>
      <c r="U57" s="2">
        <v>46311</v>
      </c>
      <c r="V57" s="2">
        <v>46312</v>
      </c>
      <c r="W57" s="2">
        <v>46313</v>
      </c>
      <c r="X57" s="2">
        <v>46314</v>
      </c>
      <c r="Y57" s="2">
        <v>46315</v>
      </c>
      <c r="Z57" s="2">
        <v>46316</v>
      </c>
      <c r="AA57" s="2">
        <v>46317</v>
      </c>
      <c r="AB57" s="2">
        <v>46318</v>
      </c>
      <c r="AC57" s="2">
        <v>46319</v>
      </c>
      <c r="AD57" s="2">
        <v>46320</v>
      </c>
      <c r="AE57" s="2">
        <v>46321</v>
      </c>
      <c r="AF57" s="2">
        <v>46322</v>
      </c>
      <c r="AG57" s="2">
        <v>46323</v>
      </c>
      <c r="AH57" s="2">
        <v>46324</v>
      </c>
      <c r="AI57" s="2">
        <v>46325</v>
      </c>
      <c r="AJ57" s="2">
        <v>46326</v>
      </c>
    </row>
    <row r="58" spans="2:36" x14ac:dyDescent="0.2">
      <c r="B58" s="353" t="s">
        <v>7</v>
      </c>
      <c r="C58" s="354"/>
      <c r="D58" s="354"/>
      <c r="E58" s="355"/>
      <c r="F58" s="337">
        <f t="shared" ref="F58:Q58" si="0">COUNTIFS(F4:F53,"A100")</f>
        <v>0</v>
      </c>
      <c r="G58" s="337">
        <f t="shared" si="0"/>
        <v>0</v>
      </c>
      <c r="H58" s="337">
        <f t="shared" si="0"/>
        <v>0</v>
      </c>
      <c r="I58" s="337">
        <f t="shared" si="0"/>
        <v>0</v>
      </c>
      <c r="J58" s="337">
        <f t="shared" si="0"/>
        <v>0</v>
      </c>
      <c r="K58" s="337">
        <f t="shared" si="0"/>
        <v>0</v>
      </c>
      <c r="L58" s="337">
        <f t="shared" si="0"/>
        <v>0</v>
      </c>
      <c r="M58" s="337">
        <f t="shared" si="0"/>
        <v>0</v>
      </c>
      <c r="N58" s="337">
        <f t="shared" si="0"/>
        <v>0</v>
      </c>
      <c r="O58" s="337">
        <f t="shared" si="0"/>
        <v>0</v>
      </c>
      <c r="P58" s="337">
        <f t="shared" si="0"/>
        <v>0</v>
      </c>
      <c r="Q58" s="337">
        <f t="shared" si="0"/>
        <v>0</v>
      </c>
      <c r="R58" s="337" t="s">
        <v>116</v>
      </c>
      <c r="S58" s="337">
        <f>COUNTIFS(S4:S53,"A100")</f>
        <v>0</v>
      </c>
      <c r="T58" s="337">
        <f>COUNTIFS(T4:T53,"A100")</f>
        <v>0</v>
      </c>
      <c r="U58" s="337">
        <f>COUNTIFS(U4:U53,"A100")</f>
        <v>0</v>
      </c>
      <c r="V58" s="337">
        <f>COUNTIFS(V4:V53,"A100")</f>
        <v>0</v>
      </c>
      <c r="W58" s="337">
        <f>COUNTIFS(W4:W53,"A100")</f>
        <v>0</v>
      </c>
      <c r="X58" s="337">
        <f>COUNTIFS(H4:H53,"A100")</f>
        <v>0</v>
      </c>
      <c r="Y58" s="337">
        <f>COUNTIFS(Y4:Y53,"A100")</f>
        <v>0</v>
      </c>
      <c r="Z58" s="337">
        <f>COUNTIFS(Z4:Z53,"A100")</f>
        <v>0</v>
      </c>
      <c r="AA58" s="337">
        <f>COUNTIFS(AA4:AA53,"A100")</f>
        <v>0</v>
      </c>
      <c r="AB58" s="337">
        <f>COUNTIFS(AH4:AH53,"A100")</f>
        <v>0</v>
      </c>
      <c r="AC58" s="337">
        <f t="shared" ref="AC58:AI58" si="1">COUNTIFS(AC4:AC53,"A100")</f>
        <v>0</v>
      </c>
      <c r="AD58" s="337">
        <f t="shared" si="1"/>
        <v>0</v>
      </c>
      <c r="AE58" s="337">
        <f t="shared" si="1"/>
        <v>0</v>
      </c>
      <c r="AF58" s="337">
        <f t="shared" si="1"/>
        <v>0</v>
      </c>
      <c r="AG58" s="337">
        <f t="shared" si="1"/>
        <v>0</v>
      </c>
      <c r="AH58" s="337">
        <f t="shared" si="1"/>
        <v>0</v>
      </c>
      <c r="AI58" s="337">
        <f t="shared" si="1"/>
        <v>0</v>
      </c>
      <c r="AJ58" s="337">
        <f t="shared" ref="AJ58" si="2">COUNTIFS(AJ4:AJ53,"A100")</f>
        <v>0</v>
      </c>
    </row>
    <row r="59" spans="2:36" ht="15" thickBot="1" x14ac:dyDescent="0.25">
      <c r="B59" s="356"/>
      <c r="C59" s="357"/>
      <c r="D59" s="357"/>
      <c r="E59" s="35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338"/>
      <c r="AB59" s="338"/>
      <c r="AC59" s="338"/>
      <c r="AD59" s="338"/>
      <c r="AE59" s="338"/>
      <c r="AF59" s="338"/>
      <c r="AG59" s="338"/>
      <c r="AH59" s="338"/>
      <c r="AI59" s="338"/>
      <c r="AJ59" s="338"/>
    </row>
    <row r="60" spans="2:36" ht="15" thickBot="1" x14ac:dyDescent="0.25">
      <c r="B60" s="1"/>
      <c r="C60" s="1"/>
      <c r="D60" s="1"/>
      <c r="E60" s="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2:36" x14ac:dyDescent="0.2">
      <c r="B61" s="339" t="s">
        <v>22</v>
      </c>
      <c r="C61" s="340"/>
      <c r="D61" s="340"/>
      <c r="E61" s="341"/>
      <c r="F61" s="337">
        <f t="shared" ref="F61:W61" si="3">COUNTIFS(F4:F53,"A600")</f>
        <v>1</v>
      </c>
      <c r="G61" s="337">
        <f t="shared" si="3"/>
        <v>1</v>
      </c>
      <c r="H61" s="337">
        <f t="shared" si="3"/>
        <v>0</v>
      </c>
      <c r="I61" s="337">
        <f t="shared" si="3"/>
        <v>1</v>
      </c>
      <c r="J61" s="337">
        <f t="shared" si="3"/>
        <v>1</v>
      </c>
      <c r="K61" s="337">
        <f t="shared" si="3"/>
        <v>1</v>
      </c>
      <c r="L61" s="337">
        <f t="shared" si="3"/>
        <v>1</v>
      </c>
      <c r="M61" s="337">
        <f t="shared" si="3"/>
        <v>1</v>
      </c>
      <c r="N61" s="337">
        <f t="shared" si="3"/>
        <v>1</v>
      </c>
      <c r="O61" s="337">
        <f t="shared" si="3"/>
        <v>0</v>
      </c>
      <c r="P61" s="337">
        <f t="shared" si="3"/>
        <v>1</v>
      </c>
      <c r="Q61" s="337">
        <f t="shared" si="3"/>
        <v>1</v>
      </c>
      <c r="R61" s="337">
        <f t="shared" si="3"/>
        <v>1</v>
      </c>
      <c r="S61" s="337">
        <f t="shared" si="3"/>
        <v>1</v>
      </c>
      <c r="T61" s="337">
        <f t="shared" si="3"/>
        <v>1</v>
      </c>
      <c r="U61" s="337">
        <f t="shared" si="3"/>
        <v>1</v>
      </c>
      <c r="V61" s="337">
        <f t="shared" si="3"/>
        <v>0</v>
      </c>
      <c r="W61" s="337">
        <f t="shared" si="3"/>
        <v>1</v>
      </c>
      <c r="X61" s="337">
        <f>COUNTIFS(H4:H53,"A600")</f>
        <v>0</v>
      </c>
      <c r="Y61" s="337">
        <f>COUNTIFS(Y4:Y53,"A600")</f>
        <v>1</v>
      </c>
      <c r="Z61" s="337">
        <f>COUNTIFS(Z4:Z53,"A600")</f>
        <v>1</v>
      </c>
      <c r="AA61" s="337">
        <f>COUNTIFS(AA4:AA53,"A600")</f>
        <v>1</v>
      </c>
      <c r="AB61" s="337">
        <f>COUNTIFS(AH4:AH53,"A600")</f>
        <v>1</v>
      </c>
      <c r="AC61" s="337">
        <f t="shared" ref="AC61:AI61" si="4">COUNTIFS(AC4:AC53,"A600")</f>
        <v>1</v>
      </c>
      <c r="AD61" s="337">
        <f t="shared" si="4"/>
        <v>1</v>
      </c>
      <c r="AE61" s="337">
        <f t="shared" si="4"/>
        <v>1</v>
      </c>
      <c r="AF61" s="337">
        <f t="shared" si="4"/>
        <v>1</v>
      </c>
      <c r="AG61" s="337">
        <f t="shared" si="4"/>
        <v>1</v>
      </c>
      <c r="AH61" s="337">
        <f t="shared" si="4"/>
        <v>1</v>
      </c>
      <c r="AI61" s="337">
        <f t="shared" si="4"/>
        <v>0</v>
      </c>
      <c r="AJ61" s="337">
        <f t="shared" ref="AJ61" si="5">COUNTIFS(AJ4:AJ53,"A600")</f>
        <v>1</v>
      </c>
    </row>
    <row r="62" spans="2:36" ht="15" thickBot="1" x14ac:dyDescent="0.25">
      <c r="B62" s="342"/>
      <c r="C62" s="343"/>
      <c r="D62" s="343"/>
      <c r="E62" s="344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38"/>
      <c r="AI62" s="338"/>
      <c r="AJ62" s="338"/>
    </row>
    <row r="63" spans="2:36" ht="15" thickBot="1" x14ac:dyDescent="0.25">
      <c r="B63" s="1"/>
      <c r="C63" s="1"/>
      <c r="D63" s="1"/>
      <c r="E63" s="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2:36" x14ac:dyDescent="0.2">
      <c r="B64" s="333" t="s">
        <v>10</v>
      </c>
      <c r="C64" s="334"/>
      <c r="D64" s="334"/>
      <c r="E64" s="334"/>
      <c r="F64" s="331">
        <f t="shared" ref="F64:W64" si="6">COUNTIFS(F4:F53,"A900")</f>
        <v>0</v>
      </c>
      <c r="G64" s="331">
        <f t="shared" si="6"/>
        <v>0</v>
      </c>
      <c r="H64" s="331">
        <f t="shared" si="6"/>
        <v>0</v>
      </c>
      <c r="I64" s="331">
        <f t="shared" si="6"/>
        <v>0</v>
      </c>
      <c r="J64" s="331">
        <f t="shared" si="6"/>
        <v>0</v>
      </c>
      <c r="K64" s="331">
        <f t="shared" si="6"/>
        <v>0</v>
      </c>
      <c r="L64" s="331">
        <f t="shared" si="6"/>
        <v>0</v>
      </c>
      <c r="M64" s="331">
        <f t="shared" si="6"/>
        <v>0</v>
      </c>
      <c r="N64" s="331">
        <f t="shared" si="6"/>
        <v>0</v>
      </c>
      <c r="O64" s="331">
        <f t="shared" si="6"/>
        <v>0</v>
      </c>
      <c r="P64" s="331">
        <f t="shared" si="6"/>
        <v>0</v>
      </c>
      <c r="Q64" s="331">
        <f t="shared" si="6"/>
        <v>0</v>
      </c>
      <c r="R64" s="331">
        <f t="shared" si="6"/>
        <v>0</v>
      </c>
      <c r="S64" s="331">
        <f t="shared" si="6"/>
        <v>0</v>
      </c>
      <c r="T64" s="331">
        <f t="shared" si="6"/>
        <v>0</v>
      </c>
      <c r="U64" s="331">
        <f t="shared" si="6"/>
        <v>0</v>
      </c>
      <c r="V64" s="331">
        <f t="shared" si="6"/>
        <v>0</v>
      </c>
      <c r="W64" s="331">
        <f t="shared" si="6"/>
        <v>0</v>
      </c>
      <c r="X64" s="331">
        <f>COUNTIFS(H4:H53,"A900")</f>
        <v>0</v>
      </c>
      <c r="Y64" s="331">
        <f>COUNTIFS(Y4:Y53,"A900")</f>
        <v>0</v>
      </c>
      <c r="Z64" s="331">
        <f>COUNTIFS(Z4:Z53,"A900")</f>
        <v>0</v>
      </c>
      <c r="AA64" s="331">
        <f>COUNTIFS(AA4:AA53,"A900")</f>
        <v>0</v>
      </c>
      <c r="AB64" s="331">
        <f>COUNTIFS(AH4:AH53,"A900")</f>
        <v>0</v>
      </c>
      <c r="AC64" s="331">
        <f t="shared" ref="AC64:AI64" si="7">COUNTIFS(AC4:AC53,"A900")</f>
        <v>0</v>
      </c>
      <c r="AD64" s="331">
        <f t="shared" si="7"/>
        <v>0</v>
      </c>
      <c r="AE64" s="331">
        <f t="shared" si="7"/>
        <v>0</v>
      </c>
      <c r="AF64" s="331">
        <f t="shared" si="7"/>
        <v>0</v>
      </c>
      <c r="AG64" s="331">
        <f t="shared" si="7"/>
        <v>0</v>
      </c>
      <c r="AH64" s="331">
        <f t="shared" si="7"/>
        <v>0</v>
      </c>
      <c r="AI64" s="331">
        <f t="shared" si="7"/>
        <v>0</v>
      </c>
      <c r="AJ64" s="331">
        <f t="shared" ref="AJ64" si="8">COUNTIFS(AJ4:AJ53,"A900")</f>
        <v>0</v>
      </c>
    </row>
    <row r="65" spans="2:36" ht="15" thickBot="1" x14ac:dyDescent="0.25">
      <c r="B65" s="335"/>
      <c r="C65" s="336"/>
      <c r="D65" s="336"/>
      <c r="E65" s="336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  <c r="AA65" s="332"/>
      <c r="AB65" s="332"/>
      <c r="AC65" s="332"/>
      <c r="AD65" s="332"/>
      <c r="AE65" s="332"/>
      <c r="AF65" s="332"/>
      <c r="AG65" s="332"/>
      <c r="AH65" s="332"/>
      <c r="AI65" s="332"/>
      <c r="AJ65" s="332"/>
    </row>
  </sheetData>
  <mergeCells count="100">
    <mergeCell ref="L58:L59"/>
    <mergeCell ref="B2:B3"/>
    <mergeCell ref="C2:C3"/>
    <mergeCell ref="D2:D3"/>
    <mergeCell ref="E2:E3"/>
    <mergeCell ref="B58:E59"/>
    <mergeCell ref="F58:F59"/>
    <mergeCell ref="G58:G59"/>
    <mergeCell ref="H58:H59"/>
    <mergeCell ref="I58:I59"/>
    <mergeCell ref="J58:J59"/>
    <mergeCell ref="K58:K59"/>
    <mergeCell ref="X58:X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AJ58:AJ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P61:P62"/>
    <mergeCell ref="B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AB61:AB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I61:AI62"/>
    <mergeCell ref="AJ61:AJ62"/>
    <mergeCell ref="B64:E65"/>
    <mergeCell ref="F64:F65"/>
    <mergeCell ref="G64:G65"/>
    <mergeCell ref="H64:H65"/>
    <mergeCell ref="I64:I65"/>
    <mergeCell ref="J64:J65"/>
    <mergeCell ref="K64:K65"/>
    <mergeCell ref="L64:L65"/>
    <mergeCell ref="AC61:AC62"/>
    <mergeCell ref="AD61:AD62"/>
    <mergeCell ref="AE61:AE62"/>
    <mergeCell ref="AF61:AF62"/>
    <mergeCell ref="AG61:AG62"/>
    <mergeCell ref="AH61:AH62"/>
    <mergeCell ref="X64:X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AJ64:AJ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A3DA-F5B5-4073-BF3E-82D487B4125D}">
  <dimension ref="B1:AJ65"/>
  <sheetViews>
    <sheetView workbookViewId="0">
      <selection activeCell="F57" sqref="F57:AI57"/>
    </sheetView>
  </sheetViews>
  <sheetFormatPr defaultRowHeight="14.25" x14ac:dyDescent="0.2"/>
  <cols>
    <col min="1" max="2" width="9" style="3"/>
    <col min="3" max="3" width="13" style="3" bestFit="1" customWidth="1"/>
    <col min="4" max="4" width="9" style="3"/>
    <col min="5" max="5" width="11" style="3" bestFit="1" customWidth="1"/>
    <col min="6" max="16384" width="9" style="3"/>
  </cols>
  <sheetData>
    <row r="1" spans="2:35" ht="15" thickBot="1" x14ac:dyDescent="0.25"/>
    <row r="2" spans="2:35" x14ac:dyDescent="0.2">
      <c r="B2" s="345" t="s">
        <v>0</v>
      </c>
      <c r="C2" s="347" t="s">
        <v>1</v>
      </c>
      <c r="D2" s="349" t="s">
        <v>2</v>
      </c>
      <c r="E2" s="351" t="s">
        <v>3</v>
      </c>
      <c r="F2" s="319" t="s">
        <v>135</v>
      </c>
      <c r="G2" s="317" t="s">
        <v>136</v>
      </c>
      <c r="H2" s="317" t="s">
        <v>130</v>
      </c>
      <c r="I2" s="317" t="s">
        <v>131</v>
      </c>
      <c r="J2" s="317" t="s">
        <v>132</v>
      </c>
      <c r="K2" s="317" t="s">
        <v>133</v>
      </c>
      <c r="L2" s="318" t="s">
        <v>134</v>
      </c>
      <c r="M2" s="319" t="s">
        <v>135</v>
      </c>
      <c r="N2" s="317" t="s">
        <v>136</v>
      </c>
      <c r="O2" s="317" t="s">
        <v>130</v>
      </c>
      <c r="P2" s="317" t="s">
        <v>131</v>
      </c>
      <c r="Q2" s="317" t="s">
        <v>132</v>
      </c>
      <c r="R2" s="317" t="s">
        <v>133</v>
      </c>
      <c r="S2" s="318" t="s">
        <v>134</v>
      </c>
      <c r="T2" s="319" t="s">
        <v>135</v>
      </c>
      <c r="U2" s="317" t="s">
        <v>136</v>
      </c>
      <c r="V2" s="317" t="s">
        <v>130</v>
      </c>
      <c r="W2" s="317" t="s">
        <v>131</v>
      </c>
      <c r="X2" s="317" t="s">
        <v>132</v>
      </c>
      <c r="Y2" s="317" t="s">
        <v>133</v>
      </c>
      <c r="Z2" s="318" t="s">
        <v>134</v>
      </c>
      <c r="AA2" s="319" t="s">
        <v>135</v>
      </c>
      <c r="AB2" s="317" t="s">
        <v>136</v>
      </c>
      <c r="AC2" s="317" t="s">
        <v>130</v>
      </c>
      <c r="AD2" s="317" t="s">
        <v>131</v>
      </c>
      <c r="AE2" s="317" t="s">
        <v>132</v>
      </c>
      <c r="AF2" s="317" t="s">
        <v>133</v>
      </c>
      <c r="AG2" s="318" t="s">
        <v>134</v>
      </c>
      <c r="AH2" s="319" t="s">
        <v>135</v>
      </c>
      <c r="AI2" s="317" t="s">
        <v>136</v>
      </c>
    </row>
    <row r="3" spans="2:35" x14ac:dyDescent="0.2">
      <c r="B3" s="346"/>
      <c r="C3" s="348"/>
      <c r="D3" s="350"/>
      <c r="E3" s="352"/>
      <c r="F3" s="21">
        <v>46327</v>
      </c>
      <c r="G3" s="21">
        <v>46328</v>
      </c>
      <c r="H3" s="21">
        <v>46329</v>
      </c>
      <c r="I3" s="21">
        <v>46330</v>
      </c>
      <c r="J3" s="21">
        <v>46331</v>
      </c>
      <c r="K3" s="21">
        <v>46332</v>
      </c>
      <c r="L3" s="21">
        <v>46333</v>
      </c>
      <c r="M3" s="21">
        <v>46334</v>
      </c>
      <c r="N3" s="21">
        <v>46335</v>
      </c>
      <c r="O3" s="21">
        <v>46336</v>
      </c>
      <c r="P3" s="21">
        <v>46337</v>
      </c>
      <c r="Q3" s="21">
        <v>46338</v>
      </c>
      <c r="R3" s="21">
        <v>46339</v>
      </c>
      <c r="S3" s="21">
        <v>46340</v>
      </c>
      <c r="T3" s="21">
        <v>46341</v>
      </c>
      <c r="U3" s="21">
        <v>46342</v>
      </c>
      <c r="V3" s="21">
        <v>46343</v>
      </c>
      <c r="W3" s="21">
        <v>46344</v>
      </c>
      <c r="X3" s="21">
        <v>46345</v>
      </c>
      <c r="Y3" s="21">
        <v>46346</v>
      </c>
      <c r="Z3" s="21">
        <v>46347</v>
      </c>
      <c r="AA3" s="21">
        <v>46348</v>
      </c>
      <c r="AB3" s="21">
        <v>46349</v>
      </c>
      <c r="AC3" s="21">
        <v>46350</v>
      </c>
      <c r="AD3" s="21">
        <v>46351</v>
      </c>
      <c r="AE3" s="21">
        <v>46352</v>
      </c>
      <c r="AF3" s="21">
        <v>46353</v>
      </c>
      <c r="AG3" s="21">
        <v>46354</v>
      </c>
      <c r="AH3" s="21">
        <v>46355</v>
      </c>
      <c r="AI3" s="361"/>
    </row>
    <row r="4" spans="2:35" x14ac:dyDescent="0.2">
      <c r="B4" s="82">
        <v>7470175</v>
      </c>
      <c r="C4" s="83" t="s">
        <v>4</v>
      </c>
      <c r="D4" s="30" t="s">
        <v>5</v>
      </c>
      <c r="E4" s="123" t="s">
        <v>6</v>
      </c>
      <c r="F4" s="276"/>
      <c r="G4" s="276"/>
      <c r="H4" s="276"/>
      <c r="I4" s="276"/>
      <c r="J4" s="279"/>
      <c r="K4" s="276"/>
      <c r="L4" s="276"/>
      <c r="M4" s="276"/>
      <c r="N4" s="276"/>
      <c r="O4" s="276"/>
      <c r="P4" s="276"/>
      <c r="Q4" s="279"/>
      <c r="R4" s="279"/>
      <c r="S4" s="279"/>
      <c r="T4" s="277"/>
      <c r="U4" s="277"/>
      <c r="V4" s="362"/>
      <c r="W4" s="362"/>
      <c r="X4" s="279"/>
      <c r="Y4" s="362"/>
      <c r="Z4" s="362"/>
      <c r="AA4" s="362"/>
      <c r="AB4" s="362"/>
      <c r="AC4" s="362"/>
      <c r="AD4" s="279"/>
      <c r="AE4" s="279"/>
      <c r="AF4" s="276"/>
      <c r="AG4" s="276"/>
      <c r="AH4" s="276"/>
      <c r="AI4" s="276"/>
    </row>
    <row r="5" spans="2:35" x14ac:dyDescent="0.2">
      <c r="B5" s="61">
        <v>6199259</v>
      </c>
      <c r="C5" s="62" t="s">
        <v>11</v>
      </c>
      <c r="D5" s="63" t="s">
        <v>12</v>
      </c>
      <c r="E5" s="22" t="s">
        <v>13</v>
      </c>
      <c r="F5" s="362"/>
      <c r="G5" s="362"/>
      <c r="H5" s="362"/>
      <c r="I5" s="362"/>
      <c r="J5" s="362"/>
      <c r="K5" s="279"/>
      <c r="L5" s="362"/>
      <c r="M5" s="362"/>
      <c r="N5" s="362"/>
      <c r="O5" s="362"/>
      <c r="P5" s="362"/>
      <c r="Q5" s="362"/>
      <c r="R5" s="279"/>
      <c r="S5" s="276"/>
      <c r="T5" s="276"/>
      <c r="U5" s="276"/>
      <c r="V5" s="276"/>
      <c r="W5" s="276"/>
      <c r="X5" s="276"/>
      <c r="Y5" s="279"/>
      <c r="Z5" s="276"/>
      <c r="AA5" s="276"/>
      <c r="AB5" s="277"/>
      <c r="AC5" s="276"/>
      <c r="AD5" s="276"/>
      <c r="AE5" s="279"/>
      <c r="AF5" s="279"/>
      <c r="AG5" s="362"/>
      <c r="AH5" s="362"/>
      <c r="AI5" s="362"/>
    </row>
    <row r="6" spans="2:35" x14ac:dyDescent="0.2">
      <c r="B6" s="64" t="s">
        <v>14</v>
      </c>
      <c r="C6" s="65" t="s">
        <v>15</v>
      </c>
      <c r="D6" s="66" t="s">
        <v>16</v>
      </c>
      <c r="E6" s="23" t="s">
        <v>6</v>
      </c>
      <c r="F6" s="279"/>
      <c r="G6" s="362"/>
      <c r="H6" s="362"/>
      <c r="I6" s="362"/>
      <c r="J6" s="362"/>
      <c r="K6" s="362"/>
      <c r="L6" s="279"/>
      <c r="M6" s="362"/>
      <c r="N6" s="362"/>
      <c r="O6" s="362"/>
      <c r="P6" s="362"/>
      <c r="Q6" s="362"/>
      <c r="R6" s="277"/>
      <c r="S6" s="279"/>
      <c r="T6" s="276"/>
      <c r="U6" s="276"/>
      <c r="V6" s="276"/>
      <c r="W6" s="276"/>
      <c r="X6" s="276"/>
      <c r="Y6" s="276"/>
      <c r="Z6" s="279"/>
      <c r="AA6" s="276"/>
      <c r="AB6" s="276"/>
      <c r="AC6" s="276"/>
      <c r="AD6" s="276"/>
      <c r="AE6" s="276"/>
      <c r="AF6" s="279"/>
      <c r="AG6" s="279"/>
      <c r="AH6" s="362"/>
      <c r="AI6" s="362"/>
    </row>
    <row r="7" spans="2:35" x14ac:dyDescent="0.2">
      <c r="B7" s="39">
        <v>5999351</v>
      </c>
      <c r="C7" s="40" t="s">
        <v>18</v>
      </c>
      <c r="D7" s="67" t="s">
        <v>19</v>
      </c>
      <c r="E7" s="8" t="s">
        <v>13</v>
      </c>
      <c r="F7" s="279"/>
      <c r="G7" s="279"/>
      <c r="H7" s="276"/>
      <c r="I7" s="276"/>
      <c r="J7" s="276"/>
      <c r="K7" s="276"/>
      <c r="L7" s="276"/>
      <c r="M7" s="279"/>
      <c r="N7" s="276"/>
      <c r="O7" s="276"/>
      <c r="P7" s="276"/>
      <c r="Q7" s="276"/>
      <c r="R7" s="276"/>
      <c r="S7" s="362"/>
      <c r="T7" s="279"/>
      <c r="U7" s="362"/>
      <c r="V7" s="362"/>
      <c r="W7" s="362"/>
      <c r="X7" s="362"/>
      <c r="Y7" s="362"/>
      <c r="Z7" s="362"/>
      <c r="AA7" s="279"/>
      <c r="AB7" s="362"/>
      <c r="AC7" s="362"/>
      <c r="AD7" s="362"/>
      <c r="AE7" s="362"/>
      <c r="AF7" s="362"/>
      <c r="AG7" s="279"/>
      <c r="AH7" s="279"/>
      <c r="AI7" s="276"/>
    </row>
    <row r="8" spans="2:35" ht="15" thickBot="1" x14ac:dyDescent="0.25">
      <c r="B8" s="68">
        <v>7755071</v>
      </c>
      <c r="C8" s="69" t="s">
        <v>20</v>
      </c>
      <c r="D8" s="29" t="s">
        <v>21</v>
      </c>
      <c r="E8" s="29" t="s">
        <v>6</v>
      </c>
      <c r="F8" s="363"/>
      <c r="G8" s="363"/>
      <c r="H8" s="279"/>
      <c r="I8" s="363"/>
      <c r="J8" s="363"/>
      <c r="K8" s="363"/>
      <c r="L8" s="363"/>
      <c r="M8" s="363"/>
      <c r="N8" s="363"/>
      <c r="O8" s="279"/>
      <c r="P8" s="363"/>
      <c r="Q8" s="363"/>
      <c r="R8" s="363"/>
      <c r="S8" s="363"/>
      <c r="T8" s="363"/>
      <c r="U8" s="363"/>
      <c r="V8" s="279"/>
      <c r="W8" s="363"/>
      <c r="X8" s="363"/>
      <c r="Y8" s="363"/>
      <c r="Z8" s="363"/>
      <c r="AA8" s="363"/>
      <c r="AB8" s="279"/>
      <c r="AC8" s="363"/>
      <c r="AD8" s="363"/>
      <c r="AE8" s="363"/>
      <c r="AF8" s="363"/>
      <c r="AG8" s="363"/>
      <c r="AH8" s="363"/>
      <c r="AI8" s="363"/>
    </row>
    <row r="9" spans="2:35" x14ac:dyDescent="0.2">
      <c r="B9" s="70">
        <v>7763969</v>
      </c>
      <c r="C9" s="71" t="s">
        <v>23</v>
      </c>
      <c r="D9" s="72" t="s">
        <v>117</v>
      </c>
      <c r="E9" s="72" t="s">
        <v>24</v>
      </c>
      <c r="F9" s="276"/>
      <c r="G9" s="276"/>
      <c r="H9" s="279"/>
      <c r="I9" s="276"/>
      <c r="J9" s="276"/>
      <c r="K9" s="276"/>
      <c r="L9" s="276"/>
      <c r="M9" s="276"/>
      <c r="N9" s="276"/>
      <c r="O9" s="279"/>
      <c r="P9" s="276"/>
      <c r="Q9" s="281"/>
      <c r="R9" s="276"/>
      <c r="S9" s="276"/>
      <c r="T9" s="276"/>
      <c r="U9" s="276"/>
      <c r="V9" s="279"/>
      <c r="W9" s="362"/>
      <c r="X9" s="362"/>
      <c r="Y9" s="362"/>
      <c r="Z9" s="362"/>
      <c r="AA9" s="362"/>
      <c r="AB9" s="279"/>
      <c r="AC9" s="279"/>
      <c r="AD9" s="362"/>
      <c r="AE9" s="362"/>
      <c r="AF9" s="362"/>
      <c r="AG9" s="362"/>
      <c r="AH9" s="362"/>
      <c r="AI9" s="362"/>
    </row>
    <row r="10" spans="2:35" x14ac:dyDescent="0.2">
      <c r="B10" s="27">
        <v>7827209</v>
      </c>
      <c r="C10" s="13" t="s">
        <v>25</v>
      </c>
      <c r="D10" s="12" t="s">
        <v>26</v>
      </c>
      <c r="E10" s="12" t="s">
        <v>27</v>
      </c>
      <c r="F10" s="276"/>
      <c r="G10" s="276"/>
      <c r="H10" s="279"/>
      <c r="I10" s="276"/>
      <c r="J10" s="276"/>
      <c r="K10" s="276"/>
      <c r="L10" s="276"/>
      <c r="M10" s="276"/>
      <c r="N10" s="276"/>
      <c r="O10" s="279"/>
      <c r="P10" s="367"/>
      <c r="Q10" s="362"/>
      <c r="R10" s="362"/>
      <c r="S10" s="362"/>
      <c r="T10" s="362"/>
      <c r="U10" s="362"/>
      <c r="V10" s="279"/>
      <c r="W10" s="276"/>
      <c r="X10" s="276"/>
      <c r="Y10" s="276"/>
      <c r="Z10" s="276"/>
      <c r="AA10" s="276"/>
      <c r="AB10" s="279"/>
      <c r="AC10" s="279"/>
      <c r="AD10" s="276"/>
      <c r="AE10" s="276"/>
      <c r="AF10" s="276"/>
      <c r="AG10" s="276"/>
      <c r="AH10" s="276"/>
      <c r="AI10" s="276"/>
    </row>
    <row r="11" spans="2:35" x14ac:dyDescent="0.2">
      <c r="B11" s="27">
        <v>7408435</v>
      </c>
      <c r="C11" s="13" t="s">
        <v>28</v>
      </c>
      <c r="D11" s="12" t="s">
        <v>29</v>
      </c>
      <c r="E11" s="12" t="s">
        <v>24</v>
      </c>
      <c r="F11" s="276"/>
      <c r="G11" s="276"/>
      <c r="H11" s="279"/>
      <c r="I11" s="276"/>
      <c r="J11" s="276"/>
      <c r="K11" s="276"/>
      <c r="L11" s="276"/>
      <c r="M11" s="276"/>
      <c r="N11" s="276"/>
      <c r="O11" s="279"/>
      <c r="P11" s="367"/>
      <c r="Q11" s="362"/>
      <c r="R11" s="362"/>
      <c r="S11" s="362"/>
      <c r="T11" s="362"/>
      <c r="U11" s="362"/>
      <c r="V11" s="279"/>
      <c r="W11" s="276"/>
      <c r="X11" s="276"/>
      <c r="Y11" s="276"/>
      <c r="Z11" s="276"/>
      <c r="AA11" s="276"/>
      <c r="AB11" s="279"/>
      <c r="AC11" s="279"/>
      <c r="AD11" s="276"/>
      <c r="AE11" s="276"/>
      <c r="AF11" s="276"/>
      <c r="AG11" s="276"/>
      <c r="AH11" s="276"/>
      <c r="AI11" s="276"/>
    </row>
    <row r="12" spans="2:35" x14ac:dyDescent="0.2">
      <c r="B12" s="27">
        <v>7863829</v>
      </c>
      <c r="C12" s="13" t="s">
        <v>30</v>
      </c>
      <c r="D12" s="12" t="s">
        <v>31</v>
      </c>
      <c r="E12" s="12" t="s">
        <v>27</v>
      </c>
      <c r="F12" s="276"/>
      <c r="G12" s="276"/>
      <c r="H12" s="279"/>
      <c r="I12" s="362"/>
      <c r="J12" s="362"/>
      <c r="K12" s="362"/>
      <c r="L12" s="362"/>
      <c r="M12" s="362"/>
      <c r="N12" s="362"/>
      <c r="O12" s="279"/>
      <c r="P12" s="362"/>
      <c r="Q12" s="362"/>
      <c r="R12" s="362"/>
      <c r="S12" s="362"/>
      <c r="T12" s="362"/>
      <c r="U12" s="362"/>
      <c r="V12" s="279"/>
      <c r="W12" s="362"/>
      <c r="X12" s="362"/>
      <c r="Y12" s="362"/>
      <c r="Z12" s="362"/>
      <c r="AA12" s="362"/>
      <c r="AB12" s="279"/>
      <c r="AC12" s="279"/>
      <c r="AD12" s="362"/>
      <c r="AE12" s="362"/>
      <c r="AF12" s="362"/>
      <c r="AG12" s="362"/>
      <c r="AH12" s="362"/>
      <c r="AI12" s="276"/>
    </row>
    <row r="13" spans="2:35" x14ac:dyDescent="0.2">
      <c r="B13" s="27">
        <v>7864531</v>
      </c>
      <c r="C13" s="13" t="s">
        <v>32</v>
      </c>
      <c r="D13" s="12" t="s">
        <v>33</v>
      </c>
      <c r="E13" s="12" t="s">
        <v>24</v>
      </c>
      <c r="F13" s="276"/>
      <c r="G13" s="276"/>
      <c r="H13" s="279"/>
      <c r="I13" s="362"/>
      <c r="J13" s="362"/>
      <c r="K13" s="362"/>
      <c r="L13" s="362"/>
      <c r="M13" s="362"/>
      <c r="N13" s="362"/>
      <c r="O13" s="279"/>
      <c r="P13" s="276"/>
      <c r="Q13" s="276"/>
      <c r="R13" s="276"/>
      <c r="S13" s="276"/>
      <c r="T13" s="276"/>
      <c r="U13" s="276"/>
      <c r="V13" s="279"/>
      <c r="W13" s="276"/>
      <c r="X13" s="276"/>
      <c r="Y13" s="276"/>
      <c r="Z13" s="276"/>
      <c r="AA13" s="276"/>
      <c r="AB13" s="279"/>
      <c r="AC13" s="279"/>
      <c r="AD13" s="276"/>
      <c r="AE13" s="276"/>
      <c r="AF13" s="276"/>
      <c r="AG13" s="277"/>
      <c r="AH13" s="279"/>
      <c r="AI13" s="362"/>
    </row>
    <row r="14" spans="2:35" ht="15" thickBot="1" x14ac:dyDescent="0.25">
      <c r="B14" s="73">
        <v>7916515</v>
      </c>
      <c r="C14" s="74" t="s">
        <v>34</v>
      </c>
      <c r="D14" s="75" t="s">
        <v>35</v>
      </c>
      <c r="E14" s="76" t="s">
        <v>27</v>
      </c>
      <c r="F14" s="362"/>
      <c r="G14" s="362"/>
      <c r="H14" s="279"/>
      <c r="I14" s="276"/>
      <c r="J14" s="276"/>
      <c r="K14" s="276"/>
      <c r="L14" s="276"/>
      <c r="M14" s="276"/>
      <c r="N14" s="276"/>
      <c r="O14" s="279"/>
      <c r="P14" s="277"/>
      <c r="Q14" s="276"/>
      <c r="R14" s="276"/>
      <c r="S14" s="276"/>
      <c r="T14" s="276"/>
      <c r="U14" s="276"/>
      <c r="V14" s="279"/>
      <c r="W14" s="362"/>
      <c r="X14" s="362"/>
      <c r="Y14" s="362"/>
      <c r="Z14" s="362"/>
      <c r="AA14" s="362"/>
      <c r="AB14" s="279"/>
      <c r="AC14" s="279"/>
      <c r="AD14" s="362"/>
      <c r="AE14" s="362"/>
      <c r="AF14" s="362"/>
      <c r="AG14" s="362"/>
      <c r="AH14" s="362"/>
      <c r="AI14" s="362"/>
    </row>
    <row r="15" spans="2:35" x14ac:dyDescent="0.2">
      <c r="B15" s="77">
        <v>7597374</v>
      </c>
      <c r="C15" s="78" t="s">
        <v>36</v>
      </c>
      <c r="D15" s="79" t="s">
        <v>37</v>
      </c>
      <c r="E15" s="79" t="s">
        <v>24</v>
      </c>
      <c r="F15" s="276"/>
      <c r="G15" s="276"/>
      <c r="H15" s="276"/>
      <c r="I15" s="279"/>
      <c r="J15" s="276"/>
      <c r="K15" s="279"/>
      <c r="L15" s="279"/>
      <c r="M15" s="277"/>
      <c r="N15" s="276"/>
      <c r="O15" s="276"/>
      <c r="P15" s="279"/>
      <c r="Q15" s="277"/>
      <c r="R15" s="362"/>
      <c r="S15" s="362"/>
      <c r="T15" s="362"/>
      <c r="U15" s="362"/>
      <c r="V15" s="362"/>
      <c r="W15" s="279"/>
      <c r="X15" s="276"/>
      <c r="Y15" s="276"/>
      <c r="Z15" s="276"/>
      <c r="AA15" s="276"/>
      <c r="AB15" s="276"/>
      <c r="AC15" s="279"/>
      <c r="AD15" s="279"/>
      <c r="AE15" s="276"/>
      <c r="AF15" s="276"/>
      <c r="AG15" s="276"/>
      <c r="AH15" s="276"/>
      <c r="AI15" s="279"/>
    </row>
    <row r="16" spans="2:35" x14ac:dyDescent="0.2">
      <c r="B16" s="80">
        <v>7828240</v>
      </c>
      <c r="C16" s="81" t="s">
        <v>38</v>
      </c>
      <c r="D16" s="28" t="s">
        <v>39</v>
      </c>
      <c r="E16" s="28" t="s">
        <v>24</v>
      </c>
      <c r="F16" s="362"/>
      <c r="G16" s="362"/>
      <c r="H16" s="362"/>
      <c r="I16" s="279"/>
      <c r="J16" s="276"/>
      <c r="K16" s="276"/>
      <c r="L16" s="276"/>
      <c r="M16" s="276"/>
      <c r="N16" s="276"/>
      <c r="O16" s="276"/>
      <c r="P16" s="279"/>
      <c r="Q16" s="276"/>
      <c r="R16" s="276"/>
      <c r="S16" s="276"/>
      <c r="T16" s="276"/>
      <c r="U16" s="276"/>
      <c r="V16" s="276"/>
      <c r="W16" s="279"/>
      <c r="X16" s="276"/>
      <c r="Y16" s="276"/>
      <c r="Z16" s="276"/>
      <c r="AA16" s="276"/>
      <c r="AB16" s="277"/>
      <c r="AC16" s="279"/>
      <c r="AD16" s="277"/>
      <c r="AE16" s="276"/>
      <c r="AF16" s="276"/>
      <c r="AG16" s="276"/>
      <c r="AH16" s="276"/>
      <c r="AI16" s="279"/>
    </row>
    <row r="17" spans="2:35" x14ac:dyDescent="0.2">
      <c r="B17" s="80">
        <v>7837148</v>
      </c>
      <c r="C17" s="81" t="s">
        <v>40</v>
      </c>
      <c r="D17" s="28" t="s">
        <v>41</v>
      </c>
      <c r="E17" s="28" t="s">
        <v>24</v>
      </c>
      <c r="F17" s="276"/>
      <c r="G17" s="276"/>
      <c r="H17" s="276"/>
      <c r="I17" s="279"/>
      <c r="J17" s="362"/>
      <c r="K17" s="362"/>
      <c r="L17" s="362"/>
      <c r="M17" s="362"/>
      <c r="N17" s="362"/>
      <c r="O17" s="277"/>
      <c r="P17" s="279"/>
      <c r="Q17" s="277"/>
      <c r="R17" s="277"/>
      <c r="S17" s="277"/>
      <c r="T17" s="276"/>
      <c r="U17" s="276"/>
      <c r="V17" s="276"/>
      <c r="W17" s="279"/>
      <c r="X17" s="276"/>
      <c r="Y17" s="276"/>
      <c r="Z17" s="276"/>
      <c r="AA17" s="276"/>
      <c r="AB17" s="276"/>
      <c r="AC17" s="279"/>
      <c r="AD17" s="279"/>
      <c r="AE17" s="276"/>
      <c r="AF17" s="276"/>
      <c r="AG17" s="276"/>
      <c r="AH17" s="276"/>
      <c r="AI17" s="279"/>
    </row>
    <row r="18" spans="2:35" x14ac:dyDescent="0.2">
      <c r="B18" s="80">
        <v>7589910</v>
      </c>
      <c r="C18" s="81" t="s">
        <v>42</v>
      </c>
      <c r="D18" s="28" t="s">
        <v>43</v>
      </c>
      <c r="E18" s="28" t="s">
        <v>24</v>
      </c>
      <c r="F18" s="362"/>
      <c r="G18" s="362"/>
      <c r="H18" s="362"/>
      <c r="I18" s="279"/>
      <c r="J18" s="276"/>
      <c r="K18" s="276"/>
      <c r="L18" s="276"/>
      <c r="M18" s="276"/>
      <c r="N18" s="276"/>
      <c r="O18" s="276"/>
      <c r="P18" s="279"/>
      <c r="Q18" s="276"/>
      <c r="R18" s="276"/>
      <c r="S18" s="277"/>
      <c r="T18" s="277"/>
      <c r="U18" s="277"/>
      <c r="V18" s="277"/>
      <c r="W18" s="368"/>
      <c r="X18" s="276"/>
      <c r="Y18" s="276"/>
      <c r="Z18" s="276"/>
      <c r="AA18" s="276"/>
      <c r="AB18" s="276"/>
      <c r="AC18" s="279"/>
      <c r="AD18" s="279"/>
      <c r="AE18" s="276"/>
      <c r="AF18" s="276"/>
      <c r="AG18" s="276"/>
      <c r="AH18" s="276"/>
      <c r="AI18" s="279"/>
    </row>
    <row r="19" spans="2:35" x14ac:dyDescent="0.2">
      <c r="B19" s="80">
        <v>7697747</v>
      </c>
      <c r="C19" s="81" t="s">
        <v>44</v>
      </c>
      <c r="D19" s="28" t="s">
        <v>118</v>
      </c>
      <c r="E19" s="28" t="s">
        <v>24</v>
      </c>
      <c r="F19" s="276"/>
      <c r="G19" s="276"/>
      <c r="H19" s="276"/>
      <c r="I19" s="279"/>
      <c r="J19" s="362"/>
      <c r="K19" s="362"/>
      <c r="L19" s="362"/>
      <c r="M19" s="362"/>
      <c r="N19" s="362"/>
      <c r="O19" s="277"/>
      <c r="P19" s="279"/>
      <c r="Q19" s="277"/>
      <c r="R19" s="277"/>
      <c r="S19" s="276"/>
      <c r="T19" s="276"/>
      <c r="U19" s="276"/>
      <c r="V19" s="276"/>
      <c r="W19" s="279"/>
      <c r="X19" s="276"/>
      <c r="Y19" s="276"/>
      <c r="Z19" s="276"/>
      <c r="AA19" s="276"/>
      <c r="AB19" s="276"/>
      <c r="AC19" s="279"/>
      <c r="AD19" s="279"/>
      <c r="AE19" s="276"/>
      <c r="AF19" s="276"/>
      <c r="AG19" s="276"/>
      <c r="AH19" s="276"/>
      <c r="AI19" s="279"/>
    </row>
    <row r="20" spans="2:35" x14ac:dyDescent="0.2">
      <c r="B20" s="80">
        <v>7870420</v>
      </c>
      <c r="C20" s="81" t="s">
        <v>45</v>
      </c>
      <c r="D20" s="28" t="s">
        <v>46</v>
      </c>
      <c r="E20" s="28" t="s">
        <v>24</v>
      </c>
      <c r="F20" s="276"/>
      <c r="G20" s="276"/>
      <c r="H20" s="276"/>
      <c r="I20" s="279"/>
      <c r="J20" s="276"/>
      <c r="K20" s="276"/>
      <c r="L20" s="276"/>
      <c r="M20" s="276"/>
      <c r="N20" s="276"/>
      <c r="O20" s="276"/>
      <c r="P20" s="279"/>
      <c r="Q20" s="362"/>
      <c r="R20" s="277"/>
      <c r="S20" s="362"/>
      <c r="T20" s="362"/>
      <c r="U20" s="362"/>
      <c r="V20" s="362"/>
      <c r="W20" s="279"/>
      <c r="X20" s="276"/>
      <c r="Y20" s="276"/>
      <c r="Z20" s="276"/>
      <c r="AA20" s="276"/>
      <c r="AB20" s="276"/>
      <c r="AC20" s="279"/>
      <c r="AD20" s="279"/>
      <c r="AE20" s="362"/>
      <c r="AF20" s="362"/>
      <c r="AG20" s="362"/>
      <c r="AH20" s="362"/>
      <c r="AI20" s="279"/>
    </row>
    <row r="21" spans="2:35" x14ac:dyDescent="0.2">
      <c r="B21" s="24">
        <v>7471068</v>
      </c>
      <c r="C21" s="25" t="s">
        <v>47</v>
      </c>
      <c r="D21" s="26" t="s">
        <v>48</v>
      </c>
      <c r="E21" s="26" t="s">
        <v>24</v>
      </c>
      <c r="F21" s="362"/>
      <c r="G21" s="362"/>
      <c r="H21" s="362"/>
      <c r="I21" s="279"/>
      <c r="J21" s="276"/>
      <c r="K21" s="276"/>
      <c r="L21" s="276"/>
      <c r="M21" s="276"/>
      <c r="N21" s="276"/>
      <c r="O21" s="276"/>
      <c r="P21" s="279"/>
      <c r="Q21" s="276"/>
      <c r="R21" s="276"/>
      <c r="S21" s="277"/>
      <c r="T21" s="277"/>
      <c r="U21" s="277"/>
      <c r="V21" s="277"/>
      <c r="W21" s="279"/>
      <c r="X21" s="276"/>
      <c r="Y21" s="276"/>
      <c r="Z21" s="276"/>
      <c r="AA21" s="276"/>
      <c r="AB21" s="276"/>
      <c r="AC21" s="279"/>
      <c r="AD21" s="279"/>
      <c r="AE21" s="276"/>
      <c r="AF21" s="276"/>
      <c r="AG21" s="276"/>
      <c r="AH21" s="276"/>
      <c r="AI21" s="279"/>
    </row>
    <row r="22" spans="2:35" x14ac:dyDescent="0.2">
      <c r="B22" s="80">
        <v>7908832</v>
      </c>
      <c r="C22" s="81" t="s">
        <v>49</v>
      </c>
      <c r="D22" s="28" t="s">
        <v>50</v>
      </c>
      <c r="E22" s="28" t="s">
        <v>27</v>
      </c>
      <c r="F22" s="362"/>
      <c r="G22" s="362"/>
      <c r="H22" s="362"/>
      <c r="I22" s="279"/>
      <c r="J22" s="276"/>
      <c r="K22" s="276"/>
      <c r="L22" s="276"/>
      <c r="M22" s="276"/>
      <c r="N22" s="276"/>
      <c r="O22" s="276"/>
      <c r="P22" s="279"/>
      <c r="Q22" s="276"/>
      <c r="R22" s="276"/>
      <c r="S22" s="277"/>
      <c r="T22" s="277"/>
      <c r="U22" s="277"/>
      <c r="V22" s="277"/>
      <c r="W22" s="279"/>
      <c r="X22" s="276"/>
      <c r="Y22" s="276"/>
      <c r="Z22" s="276"/>
      <c r="AA22" s="276"/>
      <c r="AB22" s="276"/>
      <c r="AC22" s="279"/>
      <c r="AD22" s="279"/>
      <c r="AE22" s="276"/>
      <c r="AF22" s="276"/>
      <c r="AG22" s="276"/>
      <c r="AH22" s="276"/>
      <c r="AI22" s="279"/>
    </row>
    <row r="23" spans="2:35" ht="15" thickBot="1" x14ac:dyDescent="0.25">
      <c r="B23" s="68">
        <v>7897545</v>
      </c>
      <c r="C23" s="69" t="s">
        <v>51</v>
      </c>
      <c r="D23" s="29" t="s">
        <v>52</v>
      </c>
      <c r="E23" s="29" t="s">
        <v>24</v>
      </c>
      <c r="F23" s="369"/>
      <c r="G23" s="369"/>
      <c r="H23" s="369"/>
      <c r="I23" s="369"/>
      <c r="J23" s="279"/>
      <c r="K23" s="369"/>
      <c r="L23" s="369"/>
      <c r="M23" s="369"/>
      <c r="N23" s="369"/>
      <c r="O23" s="369"/>
      <c r="P23" s="369"/>
      <c r="Q23" s="369"/>
      <c r="R23" s="369"/>
      <c r="S23" s="279"/>
      <c r="T23" s="369"/>
      <c r="U23" s="369"/>
      <c r="V23" s="369"/>
      <c r="W23" s="369"/>
      <c r="X23" s="369"/>
      <c r="Y23" s="369"/>
      <c r="Z23" s="369"/>
      <c r="AA23" s="369"/>
      <c r="AB23" s="277"/>
      <c r="AC23" s="279"/>
      <c r="AD23" s="370"/>
      <c r="AE23" s="370"/>
      <c r="AF23" s="370"/>
      <c r="AG23" s="279"/>
      <c r="AH23" s="370"/>
      <c r="AI23" s="279"/>
    </row>
    <row r="24" spans="2:35" x14ac:dyDescent="0.2">
      <c r="B24" s="82">
        <v>5956003</v>
      </c>
      <c r="C24" s="83" t="s">
        <v>53</v>
      </c>
      <c r="D24" s="30" t="s">
        <v>54</v>
      </c>
      <c r="E24" s="30" t="s">
        <v>24</v>
      </c>
      <c r="F24" s="276"/>
      <c r="G24" s="276"/>
      <c r="H24" s="276"/>
      <c r="I24" s="276"/>
      <c r="J24" s="279"/>
      <c r="K24" s="362"/>
      <c r="L24" s="362"/>
      <c r="M24" s="362"/>
      <c r="N24" s="362"/>
      <c r="O24" s="362"/>
      <c r="P24" s="362"/>
      <c r="Q24" s="279"/>
      <c r="R24" s="362"/>
      <c r="S24" s="362"/>
      <c r="T24" s="362"/>
      <c r="U24" s="362"/>
      <c r="V24" s="362"/>
      <c r="W24" s="362"/>
      <c r="X24" s="279"/>
      <c r="Y24" s="276"/>
      <c r="Z24" s="276"/>
      <c r="AA24" s="276"/>
      <c r="AB24" s="276"/>
      <c r="AC24" s="276"/>
      <c r="AD24" s="279"/>
      <c r="AE24" s="279"/>
      <c r="AF24" s="276"/>
      <c r="AG24" s="276"/>
      <c r="AH24" s="276"/>
      <c r="AI24" s="277"/>
    </row>
    <row r="25" spans="2:35" x14ac:dyDescent="0.2">
      <c r="B25" s="31">
        <v>7815844</v>
      </c>
      <c r="C25" s="32" t="s">
        <v>55</v>
      </c>
      <c r="D25" s="33" t="s">
        <v>56</v>
      </c>
      <c r="E25" s="33" t="s">
        <v>24</v>
      </c>
      <c r="F25" s="276"/>
      <c r="G25" s="276"/>
      <c r="H25" s="276"/>
      <c r="I25" s="276"/>
      <c r="J25" s="279"/>
      <c r="K25" s="276"/>
      <c r="L25" s="276"/>
      <c r="M25" s="276"/>
      <c r="N25" s="276"/>
      <c r="O25" s="276"/>
      <c r="P25" s="276"/>
      <c r="Q25" s="279"/>
      <c r="R25" s="276"/>
      <c r="S25" s="276"/>
      <c r="T25" s="276"/>
      <c r="U25" s="276"/>
      <c r="V25" s="276"/>
      <c r="W25" s="276"/>
      <c r="X25" s="279"/>
      <c r="Y25" s="362"/>
      <c r="Z25" s="362"/>
      <c r="AA25" s="362"/>
      <c r="AB25" s="362"/>
      <c r="AC25" s="362"/>
      <c r="AD25" s="279"/>
      <c r="AE25" s="279"/>
      <c r="AF25" s="276"/>
      <c r="AG25" s="276"/>
      <c r="AH25" s="276"/>
      <c r="AI25" s="276"/>
    </row>
    <row r="26" spans="2:35" x14ac:dyDescent="0.2">
      <c r="B26" s="31">
        <v>5012880</v>
      </c>
      <c r="C26" s="32" t="s">
        <v>57</v>
      </c>
      <c r="D26" s="33" t="s">
        <v>58</v>
      </c>
      <c r="E26" s="33" t="s">
        <v>24</v>
      </c>
      <c r="F26" s="276"/>
      <c r="G26" s="276"/>
      <c r="H26" s="276"/>
      <c r="I26" s="276"/>
      <c r="J26" s="279"/>
      <c r="K26" s="362"/>
      <c r="L26" s="362"/>
      <c r="M26" s="277"/>
      <c r="N26" s="277"/>
      <c r="O26" s="362"/>
      <c r="P26" s="362"/>
      <c r="Q26" s="279"/>
      <c r="R26" s="276"/>
      <c r="S26" s="276"/>
      <c r="T26" s="276"/>
      <c r="U26" s="276"/>
      <c r="V26" s="276"/>
      <c r="W26" s="276"/>
      <c r="X26" s="279"/>
      <c r="Y26" s="276"/>
      <c r="Z26" s="276"/>
      <c r="AA26" s="276"/>
      <c r="AB26" s="276"/>
      <c r="AC26" s="276"/>
      <c r="AD26" s="279"/>
      <c r="AE26" s="279"/>
      <c r="AF26" s="276"/>
      <c r="AG26" s="276"/>
      <c r="AH26" s="276"/>
      <c r="AI26" s="276"/>
    </row>
    <row r="27" spans="2:35" x14ac:dyDescent="0.2">
      <c r="B27" s="31">
        <v>7743929</v>
      </c>
      <c r="C27" s="32" t="s">
        <v>59</v>
      </c>
      <c r="D27" s="33" t="s">
        <v>60</v>
      </c>
      <c r="E27" s="33" t="s">
        <v>24</v>
      </c>
      <c r="F27" s="276"/>
      <c r="G27" s="276"/>
      <c r="H27" s="276"/>
      <c r="I27" s="276"/>
      <c r="J27" s="279"/>
      <c r="K27" s="276"/>
      <c r="L27" s="276"/>
      <c r="M27" s="276"/>
      <c r="N27" s="276"/>
      <c r="O27" s="276"/>
      <c r="P27" s="276"/>
      <c r="Q27" s="279"/>
      <c r="R27" s="276"/>
      <c r="S27" s="276"/>
      <c r="T27" s="276"/>
      <c r="U27" s="276"/>
      <c r="V27" s="276"/>
      <c r="W27" s="276"/>
      <c r="X27" s="279"/>
      <c r="Y27" s="276"/>
      <c r="Z27" s="276"/>
      <c r="AA27" s="276"/>
      <c r="AB27" s="276"/>
      <c r="AC27" s="276"/>
      <c r="AD27" s="279"/>
      <c r="AE27" s="279"/>
      <c r="AF27" s="276"/>
      <c r="AG27" s="276"/>
      <c r="AH27" s="276"/>
      <c r="AI27" s="276"/>
    </row>
    <row r="28" spans="2:35" x14ac:dyDescent="0.2">
      <c r="B28" s="31">
        <v>7804315</v>
      </c>
      <c r="C28" s="32" t="s">
        <v>61</v>
      </c>
      <c r="D28" s="33" t="s">
        <v>62</v>
      </c>
      <c r="E28" s="33" t="s">
        <v>27</v>
      </c>
      <c r="F28" s="362"/>
      <c r="G28" s="362"/>
      <c r="H28" s="362"/>
      <c r="I28" s="362"/>
      <c r="J28" s="279"/>
      <c r="K28" s="276"/>
      <c r="L28" s="276"/>
      <c r="M28" s="276"/>
      <c r="N28" s="276"/>
      <c r="O28" s="276"/>
      <c r="P28" s="277"/>
      <c r="Q28" s="279"/>
      <c r="R28" s="276"/>
      <c r="S28" s="276"/>
      <c r="T28" s="276"/>
      <c r="U28" s="276"/>
      <c r="V28" s="276"/>
      <c r="W28" s="276"/>
      <c r="X28" s="279"/>
      <c r="Y28" s="276"/>
      <c r="Z28" s="276"/>
      <c r="AA28" s="276"/>
      <c r="AB28" s="276"/>
      <c r="AC28" s="276"/>
      <c r="AD28" s="279"/>
      <c r="AE28" s="279"/>
      <c r="AF28" s="362"/>
      <c r="AG28" s="362"/>
      <c r="AH28" s="362"/>
      <c r="AI28" s="362"/>
    </row>
    <row r="29" spans="2:35" x14ac:dyDescent="0.2">
      <c r="B29" s="31">
        <v>7804355</v>
      </c>
      <c r="C29" s="32" t="s">
        <v>63</v>
      </c>
      <c r="D29" s="33" t="s">
        <v>64</v>
      </c>
      <c r="E29" s="33" t="s">
        <v>24</v>
      </c>
      <c r="F29" s="276"/>
      <c r="G29" s="276"/>
      <c r="H29" s="276"/>
      <c r="I29" s="276"/>
      <c r="J29" s="279"/>
      <c r="K29" s="276"/>
      <c r="L29" s="276"/>
      <c r="M29" s="276"/>
      <c r="N29" s="276"/>
      <c r="O29" s="276"/>
      <c r="P29" s="276"/>
      <c r="Q29" s="279"/>
      <c r="R29" s="276"/>
      <c r="S29" s="276"/>
      <c r="T29" s="276"/>
      <c r="U29" s="276"/>
      <c r="V29" s="276"/>
      <c r="W29" s="276"/>
      <c r="X29" s="279"/>
      <c r="Y29" s="362"/>
      <c r="Z29" s="362"/>
      <c r="AA29" s="362"/>
      <c r="AB29" s="362"/>
      <c r="AC29" s="362"/>
      <c r="AD29" s="279"/>
      <c r="AE29" s="279"/>
      <c r="AF29" s="276"/>
      <c r="AG29" s="276"/>
      <c r="AH29" s="276"/>
      <c r="AI29" s="276"/>
    </row>
    <row r="30" spans="2:35" x14ac:dyDescent="0.2">
      <c r="B30" s="31">
        <v>5828232</v>
      </c>
      <c r="C30" s="32" t="s">
        <v>65</v>
      </c>
      <c r="D30" s="33" t="s">
        <v>66</v>
      </c>
      <c r="E30" s="33" t="s">
        <v>24</v>
      </c>
      <c r="F30" s="276"/>
      <c r="G30" s="276"/>
      <c r="H30" s="276"/>
      <c r="I30" s="276"/>
      <c r="J30" s="279"/>
      <c r="K30" s="276"/>
      <c r="L30" s="276"/>
      <c r="M30" s="276"/>
      <c r="N30" s="276"/>
      <c r="O30" s="276"/>
      <c r="P30" s="277"/>
      <c r="Q30" s="279"/>
      <c r="R30" s="362"/>
      <c r="S30" s="362"/>
      <c r="T30" s="362"/>
      <c r="U30" s="362"/>
      <c r="V30" s="362"/>
      <c r="W30" s="362"/>
      <c r="X30" s="279"/>
      <c r="Y30" s="362"/>
      <c r="Z30" s="362"/>
      <c r="AA30" s="362"/>
      <c r="AB30" s="362"/>
      <c r="AC30" s="362"/>
      <c r="AD30" s="279"/>
      <c r="AE30" s="279"/>
      <c r="AF30" s="362"/>
      <c r="AG30" s="362"/>
      <c r="AH30" s="362"/>
      <c r="AI30" s="362"/>
    </row>
    <row r="31" spans="2:35" ht="15" thickBot="1" x14ac:dyDescent="0.25">
      <c r="B31" s="34">
        <v>7904754</v>
      </c>
      <c r="C31" s="35" t="s">
        <v>67</v>
      </c>
      <c r="D31" s="36" t="s">
        <v>68</v>
      </c>
      <c r="E31" s="36" t="s">
        <v>24</v>
      </c>
      <c r="F31" s="276"/>
      <c r="G31" s="276"/>
      <c r="H31" s="276"/>
      <c r="I31" s="276"/>
      <c r="J31" s="279"/>
      <c r="K31" s="276"/>
      <c r="L31" s="276"/>
      <c r="M31" s="276"/>
      <c r="N31" s="276"/>
      <c r="O31" s="276"/>
      <c r="P31" s="276"/>
      <c r="Q31" s="279"/>
      <c r="R31" s="276"/>
      <c r="S31" s="276"/>
      <c r="T31" s="276"/>
      <c r="U31" s="276"/>
      <c r="V31" s="276"/>
      <c r="W31" s="276"/>
      <c r="X31" s="279"/>
      <c r="Y31" s="362"/>
      <c r="Z31" s="362"/>
      <c r="AA31" s="362"/>
      <c r="AB31" s="362"/>
      <c r="AC31" s="362"/>
      <c r="AD31" s="279"/>
      <c r="AE31" s="279"/>
      <c r="AF31" s="276"/>
      <c r="AG31" s="276"/>
      <c r="AH31" s="277"/>
      <c r="AI31" s="277"/>
    </row>
    <row r="32" spans="2:35" x14ac:dyDescent="0.2">
      <c r="B32" s="124" t="s">
        <v>69</v>
      </c>
      <c r="C32" s="125" t="s">
        <v>70</v>
      </c>
      <c r="D32" s="126" t="s">
        <v>71</v>
      </c>
      <c r="E32" s="37" t="s">
        <v>24</v>
      </c>
      <c r="F32" s="362"/>
      <c r="G32" s="362"/>
      <c r="H32" s="362"/>
      <c r="I32" s="362"/>
      <c r="J32" s="362"/>
      <c r="K32" s="279"/>
      <c r="L32" s="276"/>
      <c r="M32" s="276"/>
      <c r="N32" s="276"/>
      <c r="O32" s="276"/>
      <c r="P32" s="276"/>
      <c r="Q32" s="277"/>
      <c r="R32" s="279"/>
      <c r="S32" s="276"/>
      <c r="T32" s="276"/>
      <c r="U32" s="276"/>
      <c r="V32" s="276"/>
      <c r="W32" s="276"/>
      <c r="X32" s="276"/>
      <c r="Y32" s="279"/>
      <c r="Z32" s="276"/>
      <c r="AA32" s="276"/>
      <c r="AB32" s="276"/>
      <c r="AC32" s="276"/>
      <c r="AD32" s="276"/>
      <c r="AE32" s="279"/>
      <c r="AF32" s="276"/>
      <c r="AG32" s="276"/>
      <c r="AH32" s="276"/>
      <c r="AI32" s="276"/>
    </row>
    <row r="33" spans="2:35" x14ac:dyDescent="0.2">
      <c r="B33" s="127">
        <v>7828242</v>
      </c>
      <c r="C33" s="128" t="s">
        <v>72</v>
      </c>
      <c r="D33" s="129" t="s">
        <v>73</v>
      </c>
      <c r="E33" s="22" t="s">
        <v>24</v>
      </c>
      <c r="F33" s="276"/>
      <c r="G33" s="276"/>
      <c r="H33" s="276"/>
      <c r="I33" s="276"/>
      <c r="J33" s="276"/>
      <c r="K33" s="279"/>
      <c r="L33" s="362"/>
      <c r="M33" s="362"/>
      <c r="N33" s="362"/>
      <c r="O33" s="362"/>
      <c r="P33" s="362"/>
      <c r="Q33" s="362"/>
      <c r="R33" s="279"/>
      <c r="S33" s="276"/>
      <c r="T33" s="276"/>
      <c r="U33" s="276"/>
      <c r="V33" s="276"/>
      <c r="W33" s="276"/>
      <c r="X33" s="276"/>
      <c r="Y33" s="279"/>
      <c r="Z33" s="276"/>
      <c r="AA33" s="276"/>
      <c r="AB33" s="276"/>
      <c r="AC33" s="276"/>
      <c r="AD33" s="276"/>
      <c r="AE33" s="279"/>
      <c r="AF33" s="279"/>
      <c r="AG33" s="276"/>
      <c r="AH33" s="276"/>
      <c r="AI33" s="276"/>
    </row>
    <row r="34" spans="2:35" x14ac:dyDescent="0.2">
      <c r="B34" s="84">
        <v>6227745</v>
      </c>
      <c r="C34" s="85" t="s">
        <v>74</v>
      </c>
      <c r="D34" s="86" t="s">
        <v>75</v>
      </c>
      <c r="E34" s="22" t="s">
        <v>24</v>
      </c>
      <c r="F34" s="362"/>
      <c r="G34" s="362"/>
      <c r="H34" s="362"/>
      <c r="I34" s="362"/>
      <c r="J34" s="362"/>
      <c r="K34" s="279"/>
      <c r="L34" s="276"/>
      <c r="M34" s="276"/>
      <c r="N34" s="276"/>
      <c r="O34" s="276"/>
      <c r="P34" s="276"/>
      <c r="Q34" s="276"/>
      <c r="R34" s="279"/>
      <c r="S34" s="276"/>
      <c r="T34" s="276"/>
      <c r="U34" s="276"/>
      <c r="V34" s="276"/>
      <c r="W34" s="276"/>
      <c r="X34" s="276"/>
      <c r="Y34" s="279"/>
      <c r="Z34" s="362"/>
      <c r="AA34" s="362"/>
      <c r="AB34" s="362"/>
      <c r="AC34" s="362"/>
      <c r="AD34" s="362"/>
      <c r="AE34" s="279"/>
      <c r="AF34" s="279"/>
      <c r="AG34" s="362"/>
      <c r="AH34" s="362"/>
      <c r="AI34" s="362"/>
    </row>
    <row r="35" spans="2:35" x14ac:dyDescent="0.2">
      <c r="B35" s="130">
        <v>7730037</v>
      </c>
      <c r="C35" s="131" t="s">
        <v>76</v>
      </c>
      <c r="D35" s="132" t="s">
        <v>77</v>
      </c>
      <c r="E35" s="133" t="s">
        <v>27</v>
      </c>
      <c r="F35" s="276"/>
      <c r="G35" s="276"/>
      <c r="H35" s="276"/>
      <c r="I35" s="276"/>
      <c r="J35" s="276"/>
      <c r="K35" s="279"/>
      <c r="L35" s="362"/>
      <c r="M35" s="362"/>
      <c r="N35" s="362"/>
      <c r="O35" s="362"/>
      <c r="P35" s="362"/>
      <c r="Q35" s="362"/>
      <c r="R35" s="279"/>
      <c r="S35" s="362"/>
      <c r="T35" s="362"/>
      <c r="U35" s="362"/>
      <c r="V35" s="362"/>
      <c r="W35" s="362"/>
      <c r="X35" s="362"/>
      <c r="Y35" s="279"/>
      <c r="Z35" s="276"/>
      <c r="AA35" s="276"/>
      <c r="AB35" s="276"/>
      <c r="AC35" s="276"/>
      <c r="AD35" s="276"/>
      <c r="AE35" s="279"/>
      <c r="AF35" s="279"/>
      <c r="AG35" s="276"/>
      <c r="AH35" s="276"/>
      <c r="AI35" s="276"/>
    </row>
    <row r="36" spans="2:35" x14ac:dyDescent="0.2">
      <c r="B36" s="127">
        <v>7804271</v>
      </c>
      <c r="C36" s="128" t="s">
        <v>78</v>
      </c>
      <c r="D36" s="129" t="s">
        <v>79</v>
      </c>
      <c r="E36" s="22" t="s">
        <v>27</v>
      </c>
      <c r="F36" s="276"/>
      <c r="G36" s="276"/>
      <c r="H36" s="276"/>
      <c r="I36" s="276"/>
      <c r="J36" s="276"/>
      <c r="K36" s="279"/>
      <c r="L36" s="362"/>
      <c r="M36" s="362"/>
      <c r="N36" s="362"/>
      <c r="O36" s="362"/>
      <c r="P36" s="362"/>
      <c r="Q36" s="362"/>
      <c r="R36" s="279"/>
      <c r="S36" s="276"/>
      <c r="T36" s="276"/>
      <c r="U36" s="276"/>
      <c r="V36" s="276"/>
      <c r="W36" s="276"/>
      <c r="X36" s="276"/>
      <c r="Y36" s="279"/>
      <c r="Z36" s="276"/>
      <c r="AA36" s="276"/>
      <c r="AB36" s="276"/>
      <c r="AC36" s="276"/>
      <c r="AD36" s="276"/>
      <c r="AE36" s="279"/>
      <c r="AF36" s="279"/>
      <c r="AG36" s="276"/>
      <c r="AH36" s="276"/>
      <c r="AI36" s="276"/>
    </row>
    <row r="37" spans="2:35" x14ac:dyDescent="0.2">
      <c r="B37" s="61">
        <v>7929004</v>
      </c>
      <c r="C37" s="62" t="s">
        <v>80</v>
      </c>
      <c r="D37" s="63" t="s">
        <v>81</v>
      </c>
      <c r="E37" s="87" t="s">
        <v>27</v>
      </c>
      <c r="F37" s="276"/>
      <c r="G37" s="276"/>
      <c r="H37" s="276"/>
      <c r="I37" s="276"/>
      <c r="J37" s="276"/>
      <c r="K37" s="279"/>
      <c r="L37" s="276"/>
      <c r="M37" s="276"/>
      <c r="N37" s="276"/>
      <c r="O37" s="276"/>
      <c r="P37" s="276"/>
      <c r="Q37" s="276"/>
      <c r="R37" s="279"/>
      <c r="S37" s="276"/>
      <c r="T37" s="276"/>
      <c r="U37" s="276"/>
      <c r="V37" s="276"/>
      <c r="W37" s="276"/>
      <c r="X37" s="276"/>
      <c r="Y37" s="279"/>
      <c r="Z37" s="362"/>
      <c r="AA37" s="362"/>
      <c r="AB37" s="362"/>
      <c r="AC37" s="362"/>
      <c r="AD37" s="362"/>
      <c r="AE37" s="279"/>
      <c r="AF37" s="279"/>
      <c r="AG37" s="362"/>
      <c r="AH37" s="362"/>
      <c r="AI37" s="362"/>
    </row>
    <row r="38" spans="2:35" ht="15" thickBot="1" x14ac:dyDescent="0.25">
      <c r="B38" s="84">
        <v>7892982</v>
      </c>
      <c r="C38" s="85" t="s">
        <v>82</v>
      </c>
      <c r="D38" s="86" t="s">
        <v>83</v>
      </c>
      <c r="E38" s="22" t="s">
        <v>27</v>
      </c>
      <c r="F38" s="276"/>
      <c r="G38" s="276"/>
      <c r="H38" s="276"/>
      <c r="I38" s="276"/>
      <c r="J38" s="276"/>
      <c r="K38" s="279"/>
      <c r="L38" s="276"/>
      <c r="M38" s="276"/>
      <c r="N38" s="276"/>
      <c r="O38" s="276"/>
      <c r="P38" s="276"/>
      <c r="Q38" s="276"/>
      <c r="R38" s="279"/>
      <c r="S38" s="362"/>
      <c r="T38" s="362"/>
      <c r="U38" s="362"/>
      <c r="V38" s="362"/>
      <c r="W38" s="362"/>
      <c r="X38" s="362"/>
      <c r="Y38" s="279"/>
      <c r="Z38" s="276"/>
      <c r="AA38" s="276"/>
      <c r="AB38" s="276"/>
      <c r="AC38" s="276"/>
      <c r="AD38" s="276"/>
      <c r="AE38" s="279"/>
      <c r="AF38" s="279"/>
      <c r="AG38" s="276"/>
      <c r="AH38" s="276"/>
      <c r="AI38" s="276"/>
    </row>
    <row r="39" spans="2:35" x14ac:dyDescent="0.2">
      <c r="B39" s="88">
        <v>7546024</v>
      </c>
      <c r="C39" s="89" t="s">
        <v>85</v>
      </c>
      <c r="D39" s="90" t="s">
        <v>86</v>
      </c>
      <c r="E39" s="91" t="s">
        <v>24</v>
      </c>
      <c r="F39" s="279"/>
      <c r="G39" s="276"/>
      <c r="H39" s="276"/>
      <c r="I39" s="276"/>
      <c r="J39" s="276"/>
      <c r="K39" s="276"/>
      <c r="L39" s="279"/>
      <c r="M39" s="276"/>
      <c r="N39" s="276"/>
      <c r="O39" s="276"/>
      <c r="P39" s="276"/>
      <c r="Q39" s="276"/>
      <c r="R39" s="276"/>
      <c r="S39" s="279"/>
      <c r="T39" s="276"/>
      <c r="U39" s="276"/>
      <c r="V39" s="276"/>
      <c r="W39" s="276"/>
      <c r="X39" s="276"/>
      <c r="Y39" s="276"/>
      <c r="Z39" s="279"/>
      <c r="AA39" s="362"/>
      <c r="AB39" s="362"/>
      <c r="AC39" s="362"/>
      <c r="AD39" s="362"/>
      <c r="AE39" s="362"/>
      <c r="AF39" s="279"/>
      <c r="AG39" s="279"/>
      <c r="AH39" s="362"/>
      <c r="AI39" s="362"/>
    </row>
    <row r="40" spans="2:35" x14ac:dyDescent="0.2">
      <c r="B40" s="64" t="s">
        <v>87</v>
      </c>
      <c r="C40" s="65" t="s">
        <v>88</v>
      </c>
      <c r="D40" s="66" t="s">
        <v>89</v>
      </c>
      <c r="E40" s="23" t="s">
        <v>24</v>
      </c>
      <c r="F40" s="279"/>
      <c r="G40" s="362"/>
      <c r="H40" s="362"/>
      <c r="I40" s="362"/>
      <c r="J40" s="362"/>
      <c r="K40" s="362"/>
      <c r="L40" s="279"/>
      <c r="M40" s="362"/>
      <c r="N40" s="362"/>
      <c r="O40" s="362"/>
      <c r="P40" s="362"/>
      <c r="Q40" s="362"/>
      <c r="R40" s="277"/>
      <c r="S40" s="279"/>
      <c r="T40" s="276"/>
      <c r="U40" s="276"/>
      <c r="V40" s="276"/>
      <c r="W40" s="276"/>
      <c r="X40" s="276"/>
      <c r="Y40" s="276"/>
      <c r="Z40" s="279"/>
      <c r="AA40" s="276"/>
      <c r="AB40" s="276"/>
      <c r="AC40" s="276"/>
      <c r="AD40" s="276"/>
      <c r="AE40" s="276"/>
      <c r="AF40" s="279"/>
      <c r="AG40" s="279"/>
      <c r="AH40" s="362"/>
      <c r="AI40" s="362"/>
    </row>
    <row r="41" spans="2:35" x14ac:dyDescent="0.2">
      <c r="B41" s="92">
        <v>7657458</v>
      </c>
      <c r="C41" s="65" t="s">
        <v>90</v>
      </c>
      <c r="D41" s="66" t="s">
        <v>91</v>
      </c>
      <c r="E41" s="23" t="s">
        <v>24</v>
      </c>
      <c r="F41" s="279"/>
      <c r="G41" s="276"/>
      <c r="H41" s="276"/>
      <c r="I41" s="276"/>
      <c r="J41" s="276"/>
      <c r="K41" s="276"/>
      <c r="L41" s="279"/>
      <c r="M41" s="276"/>
      <c r="N41" s="276"/>
      <c r="O41" s="276"/>
      <c r="P41" s="276"/>
      <c r="Q41" s="276"/>
      <c r="R41" s="276"/>
      <c r="S41" s="279"/>
      <c r="T41" s="362"/>
      <c r="U41" s="362"/>
      <c r="V41" s="362"/>
      <c r="W41" s="362"/>
      <c r="X41" s="362"/>
      <c r="Y41" s="362"/>
      <c r="Z41" s="279"/>
      <c r="AA41" s="276"/>
      <c r="AB41" s="276"/>
      <c r="AC41" s="276"/>
      <c r="AD41" s="276"/>
      <c r="AE41" s="276"/>
      <c r="AF41" s="279"/>
      <c r="AG41" s="279"/>
      <c r="AH41" s="277"/>
      <c r="AI41" s="276"/>
    </row>
    <row r="42" spans="2:35" x14ac:dyDescent="0.2">
      <c r="B42" s="92">
        <v>7864530</v>
      </c>
      <c r="C42" s="65" t="s">
        <v>92</v>
      </c>
      <c r="D42" s="66" t="s">
        <v>93</v>
      </c>
      <c r="E42" s="23" t="s">
        <v>24</v>
      </c>
      <c r="F42" s="279"/>
      <c r="G42" s="276"/>
      <c r="H42" s="276"/>
      <c r="I42" s="276"/>
      <c r="J42" s="276"/>
      <c r="K42" s="276"/>
      <c r="L42" s="279"/>
      <c r="M42" s="276"/>
      <c r="N42" s="276"/>
      <c r="O42" s="276"/>
      <c r="P42" s="276"/>
      <c r="Q42" s="276"/>
      <c r="R42" s="276"/>
      <c r="S42" s="279"/>
      <c r="T42" s="362"/>
      <c r="U42" s="362"/>
      <c r="V42" s="362"/>
      <c r="W42" s="362"/>
      <c r="X42" s="362"/>
      <c r="Y42" s="362"/>
      <c r="Z42" s="279"/>
      <c r="AA42" s="276"/>
      <c r="AB42" s="276"/>
      <c r="AC42" s="276"/>
      <c r="AD42" s="276"/>
      <c r="AE42" s="276"/>
      <c r="AF42" s="279"/>
      <c r="AG42" s="279"/>
      <c r="AH42" s="277"/>
      <c r="AI42" s="276"/>
    </row>
    <row r="43" spans="2:35" x14ac:dyDescent="0.2">
      <c r="B43" s="92">
        <v>7723497</v>
      </c>
      <c r="C43" s="65" t="s">
        <v>94</v>
      </c>
      <c r="D43" s="66" t="s">
        <v>95</v>
      </c>
      <c r="E43" s="23" t="s">
        <v>24</v>
      </c>
      <c r="F43" s="279"/>
      <c r="G43" s="362"/>
      <c r="H43" s="362"/>
      <c r="I43" s="362"/>
      <c r="J43" s="362"/>
      <c r="K43" s="362"/>
      <c r="L43" s="279"/>
      <c r="M43" s="362"/>
      <c r="N43" s="362"/>
      <c r="O43" s="362"/>
      <c r="P43" s="362"/>
      <c r="Q43" s="362"/>
      <c r="R43" s="362"/>
      <c r="S43" s="279"/>
      <c r="T43" s="276"/>
      <c r="U43" s="276"/>
      <c r="V43" s="276"/>
      <c r="W43" s="276"/>
      <c r="X43" s="276"/>
      <c r="Y43" s="276"/>
      <c r="Z43" s="279"/>
      <c r="AA43" s="276"/>
      <c r="AB43" s="276"/>
      <c r="AC43" s="276"/>
      <c r="AD43" s="276"/>
      <c r="AE43" s="276"/>
      <c r="AF43" s="279"/>
      <c r="AG43" s="279"/>
      <c r="AH43" s="276"/>
      <c r="AI43" s="276"/>
    </row>
    <row r="44" spans="2:35" x14ac:dyDescent="0.2">
      <c r="B44" s="93">
        <v>7913980</v>
      </c>
      <c r="C44" s="94" t="s">
        <v>96</v>
      </c>
      <c r="D44" s="95" t="s">
        <v>97</v>
      </c>
      <c r="E44" s="38" t="s">
        <v>27</v>
      </c>
      <c r="F44" s="279"/>
      <c r="G44" s="362"/>
      <c r="H44" s="362"/>
      <c r="I44" s="362"/>
      <c r="J44" s="362"/>
      <c r="K44" s="362"/>
      <c r="L44" s="279"/>
      <c r="M44" s="277"/>
      <c r="N44" s="277"/>
      <c r="O44" s="277"/>
      <c r="P44" s="276"/>
      <c r="Q44" s="276"/>
      <c r="R44" s="276"/>
      <c r="S44" s="279"/>
      <c r="T44" s="276"/>
      <c r="U44" s="276"/>
      <c r="V44" s="276"/>
      <c r="W44" s="276"/>
      <c r="X44" s="276"/>
      <c r="Y44" s="276"/>
      <c r="Z44" s="279"/>
      <c r="AA44" s="362"/>
      <c r="AB44" s="362"/>
      <c r="AC44" s="362"/>
      <c r="AD44" s="362"/>
      <c r="AE44" s="362"/>
      <c r="AF44" s="279"/>
      <c r="AG44" s="279"/>
      <c r="AH44" s="362"/>
      <c r="AI44" s="362"/>
    </row>
    <row r="45" spans="2:35" ht="15" thickBot="1" x14ac:dyDescent="0.25">
      <c r="B45" s="93">
        <v>7937200</v>
      </c>
      <c r="C45" s="94" t="s">
        <v>98</v>
      </c>
      <c r="D45" s="95" t="s">
        <v>99</v>
      </c>
      <c r="E45" s="38" t="s">
        <v>27</v>
      </c>
      <c r="F45" s="279"/>
      <c r="G45" s="276"/>
      <c r="H45" s="276"/>
      <c r="I45" s="276"/>
      <c r="J45" s="276"/>
      <c r="K45" s="276"/>
      <c r="L45" s="279"/>
      <c r="M45" s="276"/>
      <c r="N45" s="276"/>
      <c r="O45" s="276"/>
      <c r="P45" s="276"/>
      <c r="Q45" s="276"/>
      <c r="R45" s="276"/>
      <c r="S45" s="279"/>
      <c r="T45" s="362"/>
      <c r="U45" s="362"/>
      <c r="V45" s="362"/>
      <c r="W45" s="362"/>
      <c r="X45" s="362"/>
      <c r="Y45" s="362"/>
      <c r="Z45" s="279"/>
      <c r="AA45" s="277"/>
      <c r="AB45" s="277"/>
      <c r="AC45" s="276"/>
      <c r="AD45" s="276"/>
      <c r="AE45" s="276"/>
      <c r="AF45" s="279"/>
      <c r="AG45" s="279"/>
      <c r="AH45" s="276"/>
      <c r="AI45" s="276"/>
    </row>
    <row r="46" spans="2:35" x14ac:dyDescent="0.2">
      <c r="B46" s="134">
        <v>6350655</v>
      </c>
      <c r="C46" s="135" t="s">
        <v>100</v>
      </c>
      <c r="D46" s="136" t="s">
        <v>101</v>
      </c>
      <c r="E46" s="136" t="s">
        <v>24</v>
      </c>
      <c r="F46" s="279"/>
      <c r="G46" s="279"/>
      <c r="H46" s="276"/>
      <c r="I46" s="276"/>
      <c r="J46" s="276"/>
      <c r="K46" s="276"/>
      <c r="L46" s="276"/>
      <c r="M46" s="279"/>
      <c r="N46" s="276"/>
      <c r="O46" s="276"/>
      <c r="P46" s="276"/>
      <c r="Q46" s="276"/>
      <c r="R46" s="276"/>
      <c r="S46" s="276"/>
      <c r="T46" s="279"/>
      <c r="U46" s="276"/>
      <c r="V46" s="276"/>
      <c r="W46" s="276"/>
      <c r="X46" s="276"/>
      <c r="Y46" s="276"/>
      <c r="Z46" s="276"/>
      <c r="AA46" s="279"/>
      <c r="AB46" s="276"/>
      <c r="AC46" s="276"/>
      <c r="AD46" s="276"/>
      <c r="AE46" s="276"/>
      <c r="AF46" s="276"/>
      <c r="AG46" s="279"/>
      <c r="AH46" s="279"/>
      <c r="AI46" s="276"/>
    </row>
    <row r="47" spans="2:35" x14ac:dyDescent="0.2">
      <c r="B47" s="39">
        <v>7834830</v>
      </c>
      <c r="C47" s="40" t="s">
        <v>102</v>
      </c>
      <c r="D47" s="67" t="s">
        <v>103</v>
      </c>
      <c r="E47" s="8" t="s">
        <v>24</v>
      </c>
      <c r="F47" s="279"/>
      <c r="G47" s="279"/>
      <c r="H47" s="364"/>
      <c r="I47" s="364"/>
      <c r="J47" s="364"/>
      <c r="K47" s="364"/>
      <c r="L47" s="364"/>
      <c r="M47" s="279"/>
      <c r="N47" s="364"/>
      <c r="O47" s="364"/>
      <c r="P47" s="364"/>
      <c r="Q47" s="364"/>
      <c r="R47" s="364"/>
      <c r="S47" s="364"/>
      <c r="T47" s="279"/>
      <c r="U47" s="364"/>
      <c r="V47" s="364"/>
      <c r="W47" s="364"/>
      <c r="X47" s="364"/>
      <c r="Y47" s="364"/>
      <c r="Z47" s="364"/>
      <c r="AA47" s="279"/>
      <c r="AB47" s="364"/>
      <c r="AC47" s="364"/>
      <c r="AD47" s="364"/>
      <c r="AE47" s="364"/>
      <c r="AF47" s="364"/>
      <c r="AG47" s="279"/>
      <c r="AH47" s="279"/>
      <c r="AI47" s="364"/>
    </row>
    <row r="48" spans="2:35" x14ac:dyDescent="0.2">
      <c r="B48" s="39">
        <v>7863826</v>
      </c>
      <c r="C48" s="40" t="s">
        <v>104</v>
      </c>
      <c r="D48" s="67" t="s">
        <v>105</v>
      </c>
      <c r="E48" s="8" t="s">
        <v>24</v>
      </c>
      <c r="F48" s="279"/>
      <c r="G48" s="279"/>
      <c r="H48" s="276"/>
      <c r="I48" s="276"/>
      <c r="J48" s="276"/>
      <c r="K48" s="276"/>
      <c r="L48" s="276"/>
      <c r="M48" s="279"/>
      <c r="N48" s="362"/>
      <c r="O48" s="362"/>
      <c r="P48" s="362"/>
      <c r="Q48" s="362"/>
      <c r="R48" s="362"/>
      <c r="S48" s="362"/>
      <c r="T48" s="279"/>
      <c r="U48" s="276"/>
      <c r="V48" s="276"/>
      <c r="W48" s="276"/>
      <c r="X48" s="276"/>
      <c r="Y48" s="276"/>
      <c r="Z48" s="276"/>
      <c r="AA48" s="279"/>
      <c r="AB48" s="362"/>
      <c r="AC48" s="362"/>
      <c r="AD48" s="362"/>
      <c r="AE48" s="362"/>
      <c r="AF48" s="362"/>
      <c r="AG48" s="279"/>
      <c r="AH48" s="279"/>
      <c r="AI48" s="362"/>
    </row>
    <row r="49" spans="2:36" x14ac:dyDescent="0.2">
      <c r="B49" s="39">
        <v>7863822</v>
      </c>
      <c r="C49" s="40" t="s">
        <v>106</v>
      </c>
      <c r="D49" s="67" t="s">
        <v>107</v>
      </c>
      <c r="E49" s="8" t="s">
        <v>24</v>
      </c>
      <c r="F49" s="279"/>
      <c r="G49" s="279"/>
      <c r="H49" s="276"/>
      <c r="I49" s="276"/>
      <c r="J49" s="276"/>
      <c r="K49" s="276"/>
      <c r="L49" s="276"/>
      <c r="M49" s="279"/>
      <c r="N49" s="276"/>
      <c r="O49" s="276"/>
      <c r="P49" s="276"/>
      <c r="Q49" s="276"/>
      <c r="R49" s="276"/>
      <c r="S49" s="276"/>
      <c r="T49" s="279"/>
      <c r="U49" s="362"/>
      <c r="V49" s="362"/>
      <c r="W49" s="362"/>
      <c r="X49" s="362"/>
      <c r="Y49" s="362"/>
      <c r="Z49" s="362"/>
      <c r="AA49" s="279"/>
      <c r="AB49" s="362"/>
      <c r="AC49" s="362"/>
      <c r="AD49" s="362"/>
      <c r="AE49" s="362"/>
      <c r="AF49" s="362"/>
      <c r="AG49" s="279"/>
      <c r="AH49" s="279"/>
      <c r="AI49" s="276"/>
    </row>
    <row r="50" spans="2:36" x14ac:dyDescent="0.2">
      <c r="B50" s="39">
        <v>7857835</v>
      </c>
      <c r="C50" s="40" t="s">
        <v>108</v>
      </c>
      <c r="D50" s="67" t="s">
        <v>109</v>
      </c>
      <c r="E50" s="8" t="s">
        <v>27</v>
      </c>
      <c r="F50" s="279"/>
      <c r="G50" s="279"/>
      <c r="H50" s="362"/>
      <c r="I50" s="362"/>
      <c r="J50" s="362"/>
      <c r="K50" s="362"/>
      <c r="L50" s="362"/>
      <c r="M50" s="279"/>
      <c r="N50" s="362"/>
      <c r="O50" s="362"/>
      <c r="P50" s="362"/>
      <c r="Q50" s="362"/>
      <c r="R50" s="362"/>
      <c r="S50" s="362"/>
      <c r="T50" s="279"/>
      <c r="U50" s="276"/>
      <c r="V50" s="276"/>
      <c r="W50" s="276"/>
      <c r="X50" s="276"/>
      <c r="Y50" s="276"/>
      <c r="Z50" s="276"/>
      <c r="AA50" s="279"/>
      <c r="AB50" s="362"/>
      <c r="AC50" s="362"/>
      <c r="AD50" s="362"/>
      <c r="AE50" s="362"/>
      <c r="AF50" s="362"/>
      <c r="AG50" s="279"/>
      <c r="AH50" s="279"/>
      <c r="AI50" s="362"/>
    </row>
    <row r="51" spans="2:36" x14ac:dyDescent="0.2">
      <c r="B51" s="97">
        <v>7915365</v>
      </c>
      <c r="C51" s="98" t="s">
        <v>110</v>
      </c>
      <c r="D51" s="99" t="s">
        <v>111</v>
      </c>
      <c r="E51" s="96" t="s">
        <v>27</v>
      </c>
      <c r="F51" s="279"/>
      <c r="G51" s="279"/>
      <c r="H51" s="365"/>
      <c r="I51" s="365"/>
      <c r="J51" s="365"/>
      <c r="K51" s="365"/>
      <c r="L51" s="365"/>
      <c r="M51" s="279"/>
      <c r="N51" s="365"/>
      <c r="O51" s="365"/>
      <c r="P51" s="365"/>
      <c r="Q51" s="365"/>
      <c r="R51" s="365"/>
      <c r="S51" s="365"/>
      <c r="T51" s="279"/>
      <c r="U51" s="276"/>
      <c r="V51" s="276"/>
      <c r="W51" s="276"/>
      <c r="X51" s="276"/>
      <c r="Y51" s="276"/>
      <c r="Z51" s="276"/>
      <c r="AA51" s="279"/>
      <c r="AB51" s="276"/>
      <c r="AC51" s="276"/>
      <c r="AD51" s="276"/>
      <c r="AE51" s="276"/>
      <c r="AF51" s="276"/>
      <c r="AG51" s="279"/>
      <c r="AH51" s="279"/>
      <c r="AI51" s="365"/>
    </row>
    <row r="52" spans="2:36" x14ac:dyDescent="0.2">
      <c r="B52" s="100">
        <v>7929011</v>
      </c>
      <c r="C52" s="101" t="s">
        <v>112</v>
      </c>
      <c r="D52" s="102" t="s">
        <v>113</v>
      </c>
      <c r="E52" s="103" t="s">
        <v>27</v>
      </c>
      <c r="F52" s="279"/>
      <c r="G52" s="279"/>
      <c r="H52" s="276"/>
      <c r="I52" s="276"/>
      <c r="J52" s="276"/>
      <c r="K52" s="276"/>
      <c r="L52" s="276"/>
      <c r="M52" s="279"/>
      <c r="N52" s="276"/>
      <c r="O52" s="276"/>
      <c r="P52" s="276"/>
      <c r="Q52" s="276"/>
      <c r="R52" s="276"/>
      <c r="S52" s="276"/>
      <c r="T52" s="279"/>
      <c r="U52" s="365"/>
      <c r="V52" s="365"/>
      <c r="W52" s="365"/>
      <c r="X52" s="365"/>
      <c r="Y52" s="365"/>
      <c r="Z52" s="365"/>
      <c r="AA52" s="279"/>
      <c r="AB52" s="365"/>
      <c r="AC52" s="365"/>
      <c r="AD52" s="365"/>
      <c r="AE52" s="365"/>
      <c r="AF52" s="365"/>
      <c r="AG52" s="279"/>
      <c r="AH52" s="279"/>
      <c r="AI52" s="276"/>
    </row>
    <row r="53" spans="2:36" ht="15" thickBot="1" x14ac:dyDescent="0.25">
      <c r="B53" s="138">
        <v>7831441</v>
      </c>
      <c r="C53" s="137" t="s">
        <v>114</v>
      </c>
      <c r="D53" s="138" t="s">
        <v>115</v>
      </c>
      <c r="E53" s="139" t="s">
        <v>27</v>
      </c>
      <c r="F53" s="371"/>
      <c r="G53" s="371"/>
      <c r="H53" s="366"/>
      <c r="I53" s="366"/>
      <c r="J53" s="366"/>
      <c r="K53" s="366"/>
      <c r="L53" s="366"/>
      <c r="M53" s="371"/>
      <c r="N53" s="366"/>
      <c r="O53" s="366"/>
      <c r="P53" s="366"/>
      <c r="Q53" s="366"/>
      <c r="R53" s="366"/>
      <c r="S53" s="366"/>
      <c r="T53" s="371"/>
      <c r="U53" s="372"/>
      <c r="V53" s="372"/>
      <c r="W53" s="372"/>
      <c r="X53" s="372"/>
      <c r="Y53" s="372"/>
      <c r="Z53" s="372"/>
      <c r="AA53" s="371"/>
      <c r="AB53" s="366"/>
      <c r="AC53" s="366"/>
      <c r="AD53" s="366"/>
      <c r="AE53" s="366"/>
      <c r="AF53" s="366"/>
      <c r="AG53" s="371"/>
      <c r="AH53" s="371"/>
      <c r="AI53" s="366"/>
    </row>
    <row r="54" spans="2:36" x14ac:dyDescent="0.2">
      <c r="B54" s="202">
        <v>5780782</v>
      </c>
      <c r="C54" s="203" t="s">
        <v>121</v>
      </c>
      <c r="D54" s="204" t="s">
        <v>122</v>
      </c>
      <c r="E54" s="205" t="s">
        <v>123</v>
      </c>
      <c r="F54" s="275"/>
      <c r="G54" s="276"/>
      <c r="H54" s="276"/>
      <c r="I54" s="277"/>
      <c r="J54" s="276"/>
      <c r="K54" s="276"/>
      <c r="L54" s="278"/>
      <c r="M54" s="279"/>
      <c r="N54" s="277"/>
      <c r="O54" s="277"/>
      <c r="P54" s="280"/>
      <c r="Q54" s="279"/>
      <c r="R54" s="281"/>
      <c r="S54" s="281"/>
      <c r="T54" s="281"/>
      <c r="U54" s="279"/>
      <c r="V54" s="281"/>
      <c r="W54" s="276"/>
      <c r="X54" s="276"/>
      <c r="Y54" s="282"/>
      <c r="Z54" s="276"/>
      <c r="AA54" s="279"/>
      <c r="AB54" s="282"/>
      <c r="AC54" s="276"/>
      <c r="AD54" s="276"/>
      <c r="AE54" s="276"/>
      <c r="AF54" s="276"/>
      <c r="AG54" s="276"/>
      <c r="AH54" s="279"/>
      <c r="AI54" s="283"/>
    </row>
    <row r="55" spans="2:36" ht="15" thickBot="1" x14ac:dyDescent="0.25">
      <c r="B55" s="216">
        <v>7193333</v>
      </c>
      <c r="C55" s="217" t="s">
        <v>127</v>
      </c>
      <c r="D55" s="218" t="s">
        <v>128</v>
      </c>
      <c r="E55" s="218" t="s">
        <v>123</v>
      </c>
      <c r="F55" s="284"/>
      <c r="G55" s="285"/>
      <c r="H55" s="284"/>
      <c r="I55" s="284"/>
      <c r="J55" s="284"/>
      <c r="K55" s="284"/>
      <c r="L55" s="284"/>
      <c r="M55" s="284"/>
      <c r="N55" s="285"/>
      <c r="O55" s="284"/>
      <c r="P55" s="284"/>
      <c r="Q55" s="284"/>
      <c r="R55" s="284"/>
      <c r="S55" s="286"/>
      <c r="T55" s="284"/>
      <c r="U55" s="284"/>
      <c r="V55" s="287"/>
      <c r="W55" s="279"/>
      <c r="X55" s="284"/>
      <c r="Y55" s="284"/>
      <c r="Z55" s="284"/>
      <c r="AA55" s="284"/>
      <c r="AB55" s="284"/>
      <c r="AC55" s="284"/>
      <c r="AD55" s="285"/>
      <c r="AE55" s="284"/>
      <c r="AF55" s="284"/>
      <c r="AG55" s="284"/>
      <c r="AH55" s="284"/>
      <c r="AI55" s="288"/>
    </row>
    <row r="56" spans="2:36" x14ac:dyDescent="0.2">
      <c r="B56" s="41"/>
      <c r="C56" s="42"/>
      <c r="D56" s="43"/>
      <c r="E56" s="43"/>
      <c r="F56" s="44"/>
      <c r="G56" s="6"/>
    </row>
    <row r="57" spans="2:36" ht="15" thickBot="1" x14ac:dyDescent="0.25">
      <c r="F57" s="2">
        <v>46327</v>
      </c>
      <c r="G57" s="2">
        <v>46328</v>
      </c>
      <c r="H57" s="2">
        <v>46329</v>
      </c>
      <c r="I57" s="2">
        <v>46330</v>
      </c>
      <c r="J57" s="2">
        <v>46331</v>
      </c>
      <c r="K57" s="2">
        <v>46332</v>
      </c>
      <c r="L57" s="2">
        <v>46333</v>
      </c>
      <c r="M57" s="2">
        <v>46334</v>
      </c>
      <c r="N57" s="2">
        <v>46335</v>
      </c>
      <c r="O57" s="2">
        <v>46336</v>
      </c>
      <c r="P57" s="2">
        <v>46337</v>
      </c>
      <c r="Q57" s="2">
        <v>46338</v>
      </c>
      <c r="R57" s="2">
        <v>46339</v>
      </c>
      <c r="S57" s="2">
        <v>46340</v>
      </c>
      <c r="T57" s="2">
        <v>46341</v>
      </c>
      <c r="U57" s="2">
        <v>46342</v>
      </c>
      <c r="V57" s="2">
        <v>46343</v>
      </c>
      <c r="W57" s="2">
        <v>46344</v>
      </c>
      <c r="X57" s="2">
        <v>46345</v>
      </c>
      <c r="Y57" s="2">
        <v>46346</v>
      </c>
      <c r="Z57" s="2">
        <v>46347</v>
      </c>
      <c r="AA57" s="2">
        <v>46348</v>
      </c>
      <c r="AB57" s="2">
        <v>46349</v>
      </c>
      <c r="AC57" s="2">
        <v>46350</v>
      </c>
      <c r="AD57" s="2">
        <v>46351</v>
      </c>
      <c r="AE57" s="2">
        <v>46352</v>
      </c>
      <c r="AF57" s="2">
        <v>46353</v>
      </c>
      <c r="AG57" s="2">
        <v>46354</v>
      </c>
      <c r="AH57" s="2">
        <v>46355</v>
      </c>
      <c r="AI57" s="2">
        <v>46356</v>
      </c>
      <c r="AJ57" s="2"/>
    </row>
    <row r="58" spans="2:36" x14ac:dyDescent="0.2">
      <c r="B58" s="353" t="s">
        <v>7</v>
      </c>
      <c r="C58" s="354"/>
      <c r="D58" s="354"/>
      <c r="E58" s="355"/>
      <c r="F58" s="337">
        <f t="shared" ref="F58:Q58" si="0">COUNTIFS(F4:F53,"A100")</f>
        <v>0</v>
      </c>
      <c r="G58" s="337">
        <f t="shared" si="0"/>
        <v>0</v>
      </c>
      <c r="H58" s="337">
        <f t="shared" si="0"/>
        <v>0</v>
      </c>
      <c r="I58" s="337">
        <f t="shared" si="0"/>
        <v>0</v>
      </c>
      <c r="J58" s="337">
        <f t="shared" si="0"/>
        <v>0</v>
      </c>
      <c r="K58" s="337">
        <f t="shared" si="0"/>
        <v>0</v>
      </c>
      <c r="L58" s="337">
        <f t="shared" si="0"/>
        <v>0</v>
      </c>
      <c r="M58" s="337">
        <f t="shared" si="0"/>
        <v>0</v>
      </c>
      <c r="N58" s="337">
        <f t="shared" si="0"/>
        <v>0</v>
      </c>
      <c r="O58" s="337">
        <f t="shared" si="0"/>
        <v>0</v>
      </c>
      <c r="P58" s="337">
        <f t="shared" si="0"/>
        <v>0</v>
      </c>
      <c r="Q58" s="337">
        <f t="shared" si="0"/>
        <v>0</v>
      </c>
      <c r="R58" s="337" t="s">
        <v>116</v>
      </c>
      <c r="S58" s="337">
        <f>COUNTIFS(S4:S53,"A100")</f>
        <v>0</v>
      </c>
      <c r="T58" s="337">
        <f>COUNTIFS(T4:T53,"A100")</f>
        <v>0</v>
      </c>
      <c r="U58" s="337">
        <f>COUNTIFS(U4:U53,"A100")</f>
        <v>0</v>
      </c>
      <c r="V58" s="337">
        <f>COUNTIFS(V4:V53,"A100")</f>
        <v>0</v>
      </c>
      <c r="W58" s="337">
        <f>COUNTIFS(W4:W53,"A100")</f>
        <v>0</v>
      </c>
      <c r="X58" s="337">
        <f>COUNTIFS(H4:H53,"A100")</f>
        <v>0</v>
      </c>
      <c r="Y58" s="337">
        <f>COUNTIFS(Y4:Y53,"A100")</f>
        <v>0</v>
      </c>
      <c r="Z58" s="337">
        <f>COUNTIFS(Z4:Z53,"A100")</f>
        <v>0</v>
      </c>
      <c r="AA58" s="337">
        <f>COUNTIFS(AA4:AA53,"A100")</f>
        <v>0</v>
      </c>
      <c r="AB58" s="337">
        <f>COUNTIFS(AH4:AH53,"A100")</f>
        <v>0</v>
      </c>
      <c r="AC58" s="337">
        <f t="shared" ref="AC58:AI58" si="1">COUNTIFS(AC4:AC53,"A100")</f>
        <v>0</v>
      </c>
      <c r="AD58" s="337">
        <f t="shared" si="1"/>
        <v>0</v>
      </c>
      <c r="AE58" s="337">
        <f t="shared" si="1"/>
        <v>0</v>
      </c>
      <c r="AF58" s="337">
        <f t="shared" si="1"/>
        <v>0</v>
      </c>
      <c r="AG58" s="337">
        <f t="shared" si="1"/>
        <v>0</v>
      </c>
      <c r="AH58" s="337">
        <f t="shared" si="1"/>
        <v>0</v>
      </c>
      <c r="AI58" s="337" t="e">
        <f>COUNTIFS(#REF!,"A100")</f>
        <v>#REF!</v>
      </c>
      <c r="AJ58" s="337"/>
    </row>
    <row r="59" spans="2:36" ht="15" thickBot="1" x14ac:dyDescent="0.25">
      <c r="B59" s="356"/>
      <c r="C59" s="357"/>
      <c r="D59" s="357"/>
      <c r="E59" s="35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338"/>
      <c r="AB59" s="338"/>
      <c r="AC59" s="338"/>
      <c r="AD59" s="338"/>
      <c r="AE59" s="338"/>
      <c r="AF59" s="338"/>
      <c r="AG59" s="338"/>
      <c r="AH59" s="338"/>
      <c r="AI59" s="338"/>
      <c r="AJ59" s="338"/>
    </row>
    <row r="60" spans="2:36" ht="15" thickBot="1" x14ac:dyDescent="0.25">
      <c r="B60" s="1"/>
      <c r="C60" s="1"/>
      <c r="D60" s="1"/>
      <c r="E60" s="1"/>
    </row>
    <row r="61" spans="2:36" x14ac:dyDescent="0.2">
      <c r="B61" s="339" t="s">
        <v>22</v>
      </c>
      <c r="C61" s="340"/>
      <c r="D61" s="340"/>
      <c r="E61" s="341"/>
      <c r="F61" s="337">
        <f t="shared" ref="F61:W61" si="2">COUNTIFS(F4:F53,"A600")</f>
        <v>0</v>
      </c>
      <c r="G61" s="337">
        <f t="shared" si="2"/>
        <v>0</v>
      </c>
      <c r="H61" s="337">
        <f t="shared" si="2"/>
        <v>0</v>
      </c>
      <c r="I61" s="337">
        <f t="shared" si="2"/>
        <v>0</v>
      </c>
      <c r="J61" s="337">
        <f t="shared" si="2"/>
        <v>0</v>
      </c>
      <c r="K61" s="337">
        <f t="shared" si="2"/>
        <v>0</v>
      </c>
      <c r="L61" s="337">
        <f t="shared" si="2"/>
        <v>0</v>
      </c>
      <c r="M61" s="337">
        <f t="shared" si="2"/>
        <v>0</v>
      </c>
      <c r="N61" s="337">
        <f t="shared" si="2"/>
        <v>0</v>
      </c>
      <c r="O61" s="337">
        <f t="shared" si="2"/>
        <v>0</v>
      </c>
      <c r="P61" s="337">
        <f t="shared" si="2"/>
        <v>0</v>
      </c>
      <c r="Q61" s="337">
        <f t="shared" si="2"/>
        <v>0</v>
      </c>
      <c r="R61" s="337">
        <f t="shared" si="2"/>
        <v>0</v>
      </c>
      <c r="S61" s="337">
        <f t="shared" si="2"/>
        <v>0</v>
      </c>
      <c r="T61" s="337">
        <f t="shared" si="2"/>
        <v>0</v>
      </c>
      <c r="U61" s="337">
        <f t="shared" si="2"/>
        <v>0</v>
      </c>
      <c r="V61" s="337">
        <f t="shared" si="2"/>
        <v>0</v>
      </c>
      <c r="W61" s="337">
        <f t="shared" si="2"/>
        <v>0</v>
      </c>
      <c r="X61" s="337">
        <f>COUNTIFS(H4:H53,"A600")</f>
        <v>0</v>
      </c>
      <c r="Y61" s="337">
        <f>COUNTIFS(Y4:Y53,"A600")</f>
        <v>0</v>
      </c>
      <c r="Z61" s="337">
        <f>COUNTIFS(Z4:Z53,"A600")</f>
        <v>0</v>
      </c>
      <c r="AA61" s="337">
        <f>COUNTIFS(AA4:AA53,"A600")</f>
        <v>0</v>
      </c>
      <c r="AB61" s="337">
        <f>COUNTIFS(AH4:AH53,"A600")</f>
        <v>0</v>
      </c>
      <c r="AC61" s="337">
        <f t="shared" ref="AC61:AI61" si="3">COUNTIFS(AC4:AC53,"A600")</f>
        <v>0</v>
      </c>
      <c r="AD61" s="337">
        <f t="shared" si="3"/>
        <v>0</v>
      </c>
      <c r="AE61" s="337">
        <f t="shared" si="3"/>
        <v>0</v>
      </c>
      <c r="AF61" s="337">
        <f t="shared" si="3"/>
        <v>0</v>
      </c>
      <c r="AG61" s="337">
        <f t="shared" si="3"/>
        <v>0</v>
      </c>
      <c r="AH61" s="337">
        <f t="shared" si="3"/>
        <v>0</v>
      </c>
      <c r="AI61" s="337" t="e">
        <f>COUNTIFS(#REF!,"A600")</f>
        <v>#REF!</v>
      </c>
      <c r="AJ61" s="337"/>
    </row>
    <row r="62" spans="2:36" ht="15" thickBot="1" x14ac:dyDescent="0.25">
      <c r="B62" s="342"/>
      <c r="C62" s="343"/>
      <c r="D62" s="343"/>
      <c r="E62" s="344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38"/>
      <c r="AI62" s="338"/>
      <c r="AJ62" s="338"/>
    </row>
    <row r="63" spans="2:36" ht="15" thickBot="1" x14ac:dyDescent="0.25">
      <c r="B63" s="1"/>
      <c r="C63" s="1"/>
      <c r="D63" s="1"/>
      <c r="E63" s="1"/>
    </row>
    <row r="64" spans="2:36" x14ac:dyDescent="0.2">
      <c r="B64" s="333" t="s">
        <v>10</v>
      </c>
      <c r="C64" s="334"/>
      <c r="D64" s="334"/>
      <c r="E64" s="334"/>
      <c r="F64" s="331">
        <f t="shared" ref="F64:W64" si="4">COUNTIFS(F4:F53,"A900")</f>
        <v>0</v>
      </c>
      <c r="G64" s="331">
        <f t="shared" si="4"/>
        <v>0</v>
      </c>
      <c r="H64" s="331">
        <f t="shared" si="4"/>
        <v>0</v>
      </c>
      <c r="I64" s="331">
        <f t="shared" si="4"/>
        <v>0</v>
      </c>
      <c r="J64" s="331">
        <f t="shared" si="4"/>
        <v>0</v>
      </c>
      <c r="K64" s="331">
        <f t="shared" si="4"/>
        <v>0</v>
      </c>
      <c r="L64" s="331">
        <f t="shared" si="4"/>
        <v>0</v>
      </c>
      <c r="M64" s="331">
        <f t="shared" si="4"/>
        <v>0</v>
      </c>
      <c r="N64" s="331">
        <f t="shared" si="4"/>
        <v>0</v>
      </c>
      <c r="O64" s="331">
        <f t="shared" si="4"/>
        <v>0</v>
      </c>
      <c r="P64" s="331">
        <f t="shared" si="4"/>
        <v>0</v>
      </c>
      <c r="Q64" s="331">
        <f t="shared" si="4"/>
        <v>0</v>
      </c>
      <c r="R64" s="331">
        <f t="shared" si="4"/>
        <v>0</v>
      </c>
      <c r="S64" s="331">
        <f t="shared" si="4"/>
        <v>0</v>
      </c>
      <c r="T64" s="331">
        <f t="shared" si="4"/>
        <v>0</v>
      </c>
      <c r="U64" s="331">
        <f t="shared" si="4"/>
        <v>0</v>
      </c>
      <c r="V64" s="331">
        <f t="shared" si="4"/>
        <v>0</v>
      </c>
      <c r="W64" s="331">
        <f t="shared" si="4"/>
        <v>0</v>
      </c>
      <c r="X64" s="331">
        <f>COUNTIFS(H4:H53,"A900")</f>
        <v>0</v>
      </c>
      <c r="Y64" s="331">
        <f>COUNTIFS(Y4:Y53,"A900")</f>
        <v>0</v>
      </c>
      <c r="Z64" s="331">
        <f>COUNTIFS(Z4:Z53,"A900")</f>
        <v>0</v>
      </c>
      <c r="AA64" s="331">
        <f>COUNTIFS(AA4:AA53,"A900")</f>
        <v>0</v>
      </c>
      <c r="AB64" s="331">
        <f>COUNTIFS(AH4:AH53,"A900")</f>
        <v>0</v>
      </c>
      <c r="AC64" s="331">
        <f t="shared" ref="AC64:AI64" si="5">COUNTIFS(AC4:AC53,"A900")</f>
        <v>0</v>
      </c>
      <c r="AD64" s="331">
        <f t="shared" si="5"/>
        <v>0</v>
      </c>
      <c r="AE64" s="331">
        <f t="shared" si="5"/>
        <v>0</v>
      </c>
      <c r="AF64" s="331">
        <f t="shared" si="5"/>
        <v>0</v>
      </c>
      <c r="AG64" s="331">
        <f t="shared" si="5"/>
        <v>0</v>
      </c>
      <c r="AH64" s="331">
        <f t="shared" si="5"/>
        <v>0</v>
      </c>
      <c r="AI64" s="331" t="e">
        <f>COUNTIFS(#REF!,"A900")</f>
        <v>#REF!</v>
      </c>
      <c r="AJ64" s="359"/>
    </row>
    <row r="65" spans="2:36" ht="15" thickBot="1" x14ac:dyDescent="0.25">
      <c r="B65" s="335"/>
      <c r="C65" s="336"/>
      <c r="D65" s="336"/>
      <c r="E65" s="336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  <c r="AA65" s="332"/>
      <c r="AB65" s="332"/>
      <c r="AC65" s="332"/>
      <c r="AD65" s="332"/>
      <c r="AE65" s="332"/>
      <c r="AF65" s="332"/>
      <c r="AG65" s="332"/>
      <c r="AH65" s="332"/>
      <c r="AI65" s="332"/>
      <c r="AJ65" s="360"/>
    </row>
  </sheetData>
  <mergeCells count="100">
    <mergeCell ref="AJ64:AJ65"/>
    <mergeCell ref="AJ61:AJ62"/>
    <mergeCell ref="AJ58:AJ59"/>
    <mergeCell ref="AE64:AE65"/>
    <mergeCell ref="AF64:AF65"/>
    <mergeCell ref="AG64:AG65"/>
    <mergeCell ref="AH64:AH65"/>
    <mergeCell ref="AI64:AI65"/>
    <mergeCell ref="Y64:Y65"/>
    <mergeCell ref="Z64:Z65"/>
    <mergeCell ref="AA64:AA65"/>
    <mergeCell ref="AB64:AB65"/>
    <mergeCell ref="AC64:AC65"/>
    <mergeCell ref="AD64:AD65"/>
    <mergeCell ref="S64:S65"/>
    <mergeCell ref="T64:T65"/>
    <mergeCell ref="U64:U65"/>
    <mergeCell ref="V64:V65"/>
    <mergeCell ref="W64:W65"/>
    <mergeCell ref="X64:X65"/>
    <mergeCell ref="M64:M65"/>
    <mergeCell ref="N64:N65"/>
    <mergeCell ref="O64:O65"/>
    <mergeCell ref="P64:P65"/>
    <mergeCell ref="Q64:Q65"/>
    <mergeCell ref="R64:R65"/>
    <mergeCell ref="AI61:AI62"/>
    <mergeCell ref="B64:E65"/>
    <mergeCell ref="F64:F65"/>
    <mergeCell ref="G64:G65"/>
    <mergeCell ref="H64:H65"/>
    <mergeCell ref="I64:I65"/>
    <mergeCell ref="J64:J65"/>
    <mergeCell ref="K64:K65"/>
    <mergeCell ref="L64:L65"/>
    <mergeCell ref="AC61:AC62"/>
    <mergeCell ref="AD61:AD62"/>
    <mergeCell ref="AE61:AE62"/>
    <mergeCell ref="AF61:AF62"/>
    <mergeCell ref="AG61:AG62"/>
    <mergeCell ref="AH61:AH62"/>
    <mergeCell ref="W61:W62"/>
    <mergeCell ref="X61:X62"/>
    <mergeCell ref="Y61:Y62"/>
    <mergeCell ref="Z61:Z62"/>
    <mergeCell ref="AA61:AA62"/>
    <mergeCell ref="AB61:AB62"/>
    <mergeCell ref="Q61:Q62"/>
    <mergeCell ref="R61:R62"/>
    <mergeCell ref="S61:S62"/>
    <mergeCell ref="T61:T62"/>
    <mergeCell ref="U61:U62"/>
    <mergeCell ref="V61:V62"/>
    <mergeCell ref="K61:K62"/>
    <mergeCell ref="L61:L62"/>
    <mergeCell ref="M61:M62"/>
    <mergeCell ref="N61:N62"/>
    <mergeCell ref="O61:O62"/>
    <mergeCell ref="P61:P62"/>
    <mergeCell ref="B61:E62"/>
    <mergeCell ref="F61:F62"/>
    <mergeCell ref="G61:G62"/>
    <mergeCell ref="H61:H62"/>
    <mergeCell ref="I61:I62"/>
    <mergeCell ref="J61:J62"/>
    <mergeCell ref="AE58:AE59"/>
    <mergeCell ref="AF58:AF59"/>
    <mergeCell ref="AG58:AG59"/>
    <mergeCell ref="AH58:AH59"/>
    <mergeCell ref="AI58:AI59"/>
    <mergeCell ref="Y58:Y59"/>
    <mergeCell ref="Z58:Z59"/>
    <mergeCell ref="AA58:AA59"/>
    <mergeCell ref="AB58:AB59"/>
    <mergeCell ref="AC58:AC59"/>
    <mergeCell ref="AD58:AD59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J58:J59"/>
    <mergeCell ref="K58:K59"/>
    <mergeCell ref="L58:L59"/>
    <mergeCell ref="B2:B3"/>
    <mergeCell ref="C2:C3"/>
    <mergeCell ref="D2:D3"/>
    <mergeCell ref="E2:E3"/>
    <mergeCell ref="B58:E59"/>
    <mergeCell ref="F58:F5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4056-109A-4492-930E-F3D8F27B7F44}">
  <dimension ref="B1:AJ65"/>
  <sheetViews>
    <sheetView workbookViewId="0">
      <selection activeCell="V8" sqref="V8:W8"/>
    </sheetView>
  </sheetViews>
  <sheetFormatPr defaultRowHeight="14.25" x14ac:dyDescent="0.2"/>
  <cols>
    <col min="1" max="2" width="9" style="3"/>
    <col min="3" max="3" width="13" style="3" bestFit="1" customWidth="1"/>
    <col min="4" max="4" width="9" style="3"/>
    <col min="5" max="5" width="11" style="3" bestFit="1" customWidth="1"/>
    <col min="6" max="16384" width="9" style="3"/>
  </cols>
  <sheetData>
    <row r="1" spans="2:36" ht="15" thickBot="1" x14ac:dyDescent="0.25"/>
    <row r="2" spans="2:36" x14ac:dyDescent="0.2">
      <c r="B2" s="345" t="s">
        <v>0</v>
      </c>
      <c r="C2" s="347" t="s">
        <v>1</v>
      </c>
      <c r="D2" s="349" t="s">
        <v>2</v>
      </c>
      <c r="E2" s="351" t="s">
        <v>3</v>
      </c>
      <c r="F2" s="317" t="s">
        <v>130</v>
      </c>
      <c r="G2" s="317" t="s">
        <v>131</v>
      </c>
      <c r="H2" s="317" t="s">
        <v>132</v>
      </c>
      <c r="I2" s="317" t="s">
        <v>133</v>
      </c>
      <c r="J2" s="318" t="s">
        <v>134</v>
      </c>
      <c r="K2" s="319" t="s">
        <v>135</v>
      </c>
      <c r="L2" s="317" t="s">
        <v>136</v>
      </c>
      <c r="M2" s="317" t="s">
        <v>130</v>
      </c>
      <c r="N2" s="317" t="s">
        <v>131</v>
      </c>
      <c r="O2" s="317" t="s">
        <v>132</v>
      </c>
      <c r="P2" s="317" t="s">
        <v>133</v>
      </c>
      <c r="Q2" s="318" t="s">
        <v>134</v>
      </c>
      <c r="R2" s="319" t="s">
        <v>135</v>
      </c>
      <c r="S2" s="317" t="s">
        <v>136</v>
      </c>
      <c r="T2" s="317" t="s">
        <v>130</v>
      </c>
      <c r="U2" s="317" t="s">
        <v>131</v>
      </c>
      <c r="V2" s="317" t="s">
        <v>132</v>
      </c>
      <c r="W2" s="317" t="s">
        <v>133</v>
      </c>
      <c r="X2" s="318" t="s">
        <v>134</v>
      </c>
      <c r="Y2" s="319" t="s">
        <v>135</v>
      </c>
      <c r="Z2" s="317" t="s">
        <v>136</v>
      </c>
      <c r="AA2" s="317" t="s">
        <v>130</v>
      </c>
      <c r="AB2" s="317" t="s">
        <v>131</v>
      </c>
      <c r="AC2" s="317" t="s">
        <v>132</v>
      </c>
      <c r="AD2" s="317" t="s">
        <v>133</v>
      </c>
      <c r="AE2" s="318" t="s">
        <v>134</v>
      </c>
      <c r="AF2" s="319" t="s">
        <v>135</v>
      </c>
      <c r="AG2" s="317" t="s">
        <v>136</v>
      </c>
      <c r="AH2" s="317" t="s">
        <v>130</v>
      </c>
      <c r="AI2" s="317" t="s">
        <v>131</v>
      </c>
      <c r="AJ2" s="317" t="s">
        <v>132</v>
      </c>
    </row>
    <row r="3" spans="2:36" x14ac:dyDescent="0.2">
      <c r="B3" s="346"/>
      <c r="C3" s="348"/>
      <c r="D3" s="350"/>
      <c r="E3" s="352"/>
      <c r="F3" s="21">
        <v>46357</v>
      </c>
      <c r="G3" s="21">
        <v>46358</v>
      </c>
      <c r="H3" s="21">
        <v>46359</v>
      </c>
      <c r="I3" s="21">
        <v>46360</v>
      </c>
      <c r="J3" s="21">
        <v>46361</v>
      </c>
      <c r="K3" s="21">
        <v>46362</v>
      </c>
      <c r="L3" s="21">
        <v>46363</v>
      </c>
      <c r="M3" s="21">
        <v>46364</v>
      </c>
      <c r="N3" s="21">
        <v>46365</v>
      </c>
      <c r="O3" s="21">
        <v>46366</v>
      </c>
      <c r="P3" s="21">
        <v>46367</v>
      </c>
      <c r="Q3" s="21">
        <v>46368</v>
      </c>
      <c r="R3" s="21">
        <v>46369</v>
      </c>
      <c r="S3" s="21">
        <v>46370</v>
      </c>
      <c r="T3" s="21">
        <v>46371</v>
      </c>
      <c r="U3" s="21">
        <v>46372</v>
      </c>
      <c r="V3" s="21">
        <v>46373</v>
      </c>
      <c r="W3" s="21">
        <v>46374</v>
      </c>
      <c r="X3" s="21">
        <v>46375</v>
      </c>
      <c r="Y3" s="21">
        <v>46376</v>
      </c>
      <c r="Z3" s="21">
        <v>46377</v>
      </c>
      <c r="AA3" s="21">
        <v>46378</v>
      </c>
      <c r="AB3" s="21">
        <v>46379</v>
      </c>
      <c r="AC3" s="21">
        <v>46380</v>
      </c>
      <c r="AD3" s="21">
        <v>46381</v>
      </c>
      <c r="AE3" s="21">
        <v>46382</v>
      </c>
      <c r="AF3" s="21">
        <v>46383</v>
      </c>
      <c r="AG3" s="21">
        <v>46384</v>
      </c>
      <c r="AH3" s="21">
        <v>46385</v>
      </c>
      <c r="AI3" s="21">
        <v>46386</v>
      </c>
      <c r="AJ3" s="21">
        <v>46387</v>
      </c>
    </row>
    <row r="4" spans="2:36" x14ac:dyDescent="0.2">
      <c r="B4" s="82">
        <v>7470175</v>
      </c>
      <c r="C4" s="83" t="s">
        <v>4</v>
      </c>
      <c r="D4" s="30" t="s">
        <v>5</v>
      </c>
      <c r="E4" s="123" t="s">
        <v>6</v>
      </c>
      <c r="F4" s="276"/>
      <c r="G4" s="276"/>
      <c r="H4" s="276"/>
      <c r="I4" s="276"/>
      <c r="J4" s="279"/>
      <c r="K4" s="276"/>
      <c r="L4" s="276"/>
      <c r="M4" s="276"/>
      <c r="N4" s="276"/>
      <c r="O4" s="276"/>
      <c r="P4" s="276"/>
      <c r="Q4" s="279"/>
      <c r="R4" s="279"/>
      <c r="S4" s="279"/>
      <c r="T4" s="277"/>
      <c r="U4" s="277"/>
      <c r="V4" s="362"/>
      <c r="W4" s="362"/>
      <c r="X4" s="279"/>
      <c r="Y4" s="362"/>
      <c r="Z4" s="362"/>
      <c r="AA4" s="362"/>
      <c r="AB4" s="362"/>
      <c r="AC4" s="362"/>
      <c r="AD4" s="279"/>
      <c r="AE4" s="279"/>
      <c r="AF4" s="276"/>
      <c r="AG4" s="276"/>
      <c r="AH4" s="276"/>
      <c r="AI4" s="276"/>
      <c r="AJ4" s="276"/>
    </row>
    <row r="5" spans="2:36" x14ac:dyDescent="0.2">
      <c r="B5" s="61">
        <v>6199259</v>
      </c>
      <c r="C5" s="62" t="s">
        <v>11</v>
      </c>
      <c r="D5" s="63" t="s">
        <v>12</v>
      </c>
      <c r="E5" s="22" t="s">
        <v>13</v>
      </c>
      <c r="F5" s="362"/>
      <c r="G5" s="362"/>
      <c r="H5" s="362"/>
      <c r="I5" s="362"/>
      <c r="J5" s="362"/>
      <c r="K5" s="279"/>
      <c r="L5" s="362"/>
      <c r="M5" s="362"/>
      <c r="N5" s="362"/>
      <c r="O5" s="362"/>
      <c r="P5" s="362"/>
      <c r="Q5" s="362"/>
      <c r="R5" s="279"/>
      <c r="S5" s="276"/>
      <c r="T5" s="276"/>
      <c r="U5" s="276"/>
      <c r="V5" s="276"/>
      <c r="W5" s="276"/>
      <c r="X5" s="276"/>
      <c r="Y5" s="279"/>
      <c r="Z5" s="276"/>
      <c r="AA5" s="276"/>
      <c r="AB5" s="277"/>
      <c r="AC5" s="276"/>
      <c r="AD5" s="276"/>
      <c r="AE5" s="279"/>
      <c r="AF5" s="279"/>
      <c r="AG5" s="362"/>
      <c r="AH5" s="362"/>
      <c r="AI5" s="362"/>
      <c r="AJ5" s="362"/>
    </row>
    <row r="6" spans="2:36" x14ac:dyDescent="0.2">
      <c r="B6" s="64" t="s">
        <v>14</v>
      </c>
      <c r="C6" s="65" t="s">
        <v>15</v>
      </c>
      <c r="D6" s="66" t="s">
        <v>16</v>
      </c>
      <c r="E6" s="23" t="s">
        <v>6</v>
      </c>
      <c r="F6" s="279"/>
      <c r="G6" s="362"/>
      <c r="H6" s="362"/>
      <c r="I6" s="362"/>
      <c r="J6" s="362"/>
      <c r="K6" s="362"/>
      <c r="L6" s="279"/>
      <c r="M6" s="362"/>
      <c r="N6" s="362"/>
      <c r="O6" s="362"/>
      <c r="P6" s="362"/>
      <c r="Q6" s="362"/>
      <c r="R6" s="277"/>
      <c r="S6" s="279"/>
      <c r="T6" s="276"/>
      <c r="U6" s="276"/>
      <c r="V6" s="276"/>
      <c r="W6" s="276"/>
      <c r="X6" s="276"/>
      <c r="Y6" s="276"/>
      <c r="Z6" s="279"/>
      <c r="AA6" s="276"/>
      <c r="AB6" s="276"/>
      <c r="AC6" s="276"/>
      <c r="AD6" s="276"/>
      <c r="AE6" s="276"/>
      <c r="AF6" s="279"/>
      <c r="AG6" s="279"/>
      <c r="AH6" s="362"/>
      <c r="AI6" s="362"/>
      <c r="AJ6" s="362"/>
    </row>
    <row r="7" spans="2:36" x14ac:dyDescent="0.2">
      <c r="B7" s="39">
        <v>5999351</v>
      </c>
      <c r="C7" s="40" t="s">
        <v>18</v>
      </c>
      <c r="D7" s="67" t="s">
        <v>19</v>
      </c>
      <c r="E7" s="8" t="s">
        <v>13</v>
      </c>
      <c r="F7" s="279"/>
      <c r="G7" s="279"/>
      <c r="H7" s="276"/>
      <c r="I7" s="276"/>
      <c r="J7" s="276"/>
      <c r="K7" s="276"/>
      <c r="L7" s="276"/>
      <c r="M7" s="279"/>
      <c r="N7" s="276"/>
      <c r="O7" s="276"/>
      <c r="P7" s="276"/>
      <c r="Q7" s="276"/>
      <c r="R7" s="276"/>
      <c r="S7" s="362"/>
      <c r="T7" s="279"/>
      <c r="U7" s="362"/>
      <c r="V7" s="362"/>
      <c r="W7" s="362"/>
      <c r="X7" s="362"/>
      <c r="Y7" s="362"/>
      <c r="Z7" s="362"/>
      <c r="AA7" s="279"/>
      <c r="AB7" s="362"/>
      <c r="AC7" s="362"/>
      <c r="AD7" s="362"/>
      <c r="AE7" s="362"/>
      <c r="AF7" s="362"/>
      <c r="AG7" s="279"/>
      <c r="AH7" s="279"/>
      <c r="AI7" s="277"/>
      <c r="AJ7" s="276"/>
    </row>
    <row r="8" spans="2:36" ht="15" thickBot="1" x14ac:dyDescent="0.25">
      <c r="B8" s="68">
        <v>7755071</v>
      </c>
      <c r="C8" s="69" t="s">
        <v>20</v>
      </c>
      <c r="D8" s="29" t="s">
        <v>21</v>
      </c>
      <c r="E8" s="29" t="s">
        <v>6</v>
      </c>
      <c r="F8" s="363"/>
      <c r="G8" s="363"/>
      <c r="H8" s="279"/>
      <c r="I8" s="363"/>
      <c r="J8" s="363"/>
      <c r="K8" s="363"/>
      <c r="L8" s="363"/>
      <c r="M8" s="363"/>
      <c r="N8" s="363"/>
      <c r="O8" s="279"/>
      <c r="P8" s="363"/>
      <c r="Q8" s="363"/>
      <c r="R8" s="363"/>
      <c r="S8" s="363"/>
      <c r="T8" s="363"/>
      <c r="U8" s="363"/>
      <c r="V8" s="206" t="s">
        <v>116</v>
      </c>
      <c r="W8" s="373" t="s">
        <v>9</v>
      </c>
      <c r="X8" s="363"/>
      <c r="Y8" s="363"/>
      <c r="Z8" s="363"/>
      <c r="AA8" s="363"/>
      <c r="AB8" s="279"/>
      <c r="AC8" s="363"/>
      <c r="AD8" s="363"/>
      <c r="AE8" s="363"/>
      <c r="AF8" s="363"/>
      <c r="AG8" s="363"/>
      <c r="AH8" s="363"/>
      <c r="AI8" s="279"/>
      <c r="AJ8" s="363"/>
    </row>
    <row r="9" spans="2:36" x14ac:dyDescent="0.2">
      <c r="B9" s="70">
        <v>7763969</v>
      </c>
      <c r="C9" s="71" t="s">
        <v>23</v>
      </c>
      <c r="D9" s="72" t="s">
        <v>117</v>
      </c>
      <c r="E9" s="72" t="s">
        <v>24</v>
      </c>
      <c r="F9" s="276"/>
      <c r="G9" s="276"/>
      <c r="H9" s="279"/>
      <c r="I9" s="276"/>
      <c r="J9" s="276"/>
      <c r="K9" s="276"/>
      <c r="L9" s="276"/>
      <c r="M9" s="276"/>
      <c r="N9" s="276"/>
      <c r="O9" s="279"/>
      <c r="P9" s="276"/>
      <c r="Q9" s="281"/>
      <c r="R9" s="276"/>
      <c r="S9" s="276"/>
      <c r="T9" s="276"/>
      <c r="U9" s="276"/>
      <c r="V9" s="279"/>
      <c r="W9" s="362"/>
      <c r="X9" s="362"/>
      <c r="Y9" s="362"/>
      <c r="Z9" s="362"/>
      <c r="AA9" s="362"/>
      <c r="AB9" s="279"/>
      <c r="AC9" s="279"/>
      <c r="AD9" s="362"/>
      <c r="AE9" s="362"/>
      <c r="AF9" s="362"/>
      <c r="AG9" s="362"/>
      <c r="AH9" s="362"/>
      <c r="AI9" s="279"/>
      <c r="AJ9" s="362"/>
    </row>
    <row r="10" spans="2:36" x14ac:dyDescent="0.2">
      <c r="B10" s="27">
        <v>7827209</v>
      </c>
      <c r="C10" s="13" t="s">
        <v>25</v>
      </c>
      <c r="D10" s="12" t="s">
        <v>26</v>
      </c>
      <c r="E10" s="12" t="s">
        <v>27</v>
      </c>
      <c r="F10" s="276"/>
      <c r="G10" s="276"/>
      <c r="H10" s="279"/>
      <c r="I10" s="276"/>
      <c r="J10" s="276"/>
      <c r="K10" s="276"/>
      <c r="L10" s="276"/>
      <c r="M10" s="276"/>
      <c r="N10" s="276"/>
      <c r="O10" s="279"/>
      <c r="P10" s="367"/>
      <c r="Q10" s="362"/>
      <c r="R10" s="362"/>
      <c r="S10" s="362"/>
      <c r="T10" s="362"/>
      <c r="U10" s="362"/>
      <c r="V10" s="279"/>
      <c r="W10" s="276"/>
      <c r="X10" s="276"/>
      <c r="Y10" s="276"/>
      <c r="Z10" s="276"/>
      <c r="AA10" s="276"/>
      <c r="AB10" s="279"/>
      <c r="AC10" s="279"/>
      <c r="AD10" s="276"/>
      <c r="AE10" s="276"/>
      <c r="AF10" s="276"/>
      <c r="AG10" s="276"/>
      <c r="AH10" s="276"/>
      <c r="AI10" s="279"/>
      <c r="AJ10" s="276"/>
    </row>
    <row r="11" spans="2:36" x14ac:dyDescent="0.2">
      <c r="B11" s="27">
        <v>7408435</v>
      </c>
      <c r="C11" s="13" t="s">
        <v>28</v>
      </c>
      <c r="D11" s="12" t="s">
        <v>29</v>
      </c>
      <c r="E11" s="12" t="s">
        <v>24</v>
      </c>
      <c r="F11" s="276"/>
      <c r="G11" s="276"/>
      <c r="H11" s="279"/>
      <c r="I11" s="276"/>
      <c r="J11" s="276"/>
      <c r="K11" s="276"/>
      <c r="L11" s="276"/>
      <c r="M11" s="276"/>
      <c r="N11" s="276"/>
      <c r="O11" s="279"/>
      <c r="P11" s="367"/>
      <c r="Q11" s="362"/>
      <c r="R11" s="362"/>
      <c r="S11" s="362"/>
      <c r="T11" s="362"/>
      <c r="U11" s="362"/>
      <c r="V11" s="279"/>
      <c r="W11" s="276"/>
      <c r="X11" s="276"/>
      <c r="Y11" s="276"/>
      <c r="Z11" s="276"/>
      <c r="AA11" s="276"/>
      <c r="AB11" s="279"/>
      <c r="AC11" s="279"/>
      <c r="AD11" s="276"/>
      <c r="AE11" s="276"/>
      <c r="AF11" s="276"/>
      <c r="AG11" s="276"/>
      <c r="AH11" s="276"/>
      <c r="AI11" s="279"/>
      <c r="AJ11" s="276"/>
    </row>
    <row r="12" spans="2:36" x14ac:dyDescent="0.2">
      <c r="B12" s="27">
        <v>7863829</v>
      </c>
      <c r="C12" s="13" t="s">
        <v>30</v>
      </c>
      <c r="D12" s="12" t="s">
        <v>31</v>
      </c>
      <c r="E12" s="12" t="s">
        <v>27</v>
      </c>
      <c r="F12" s="276"/>
      <c r="G12" s="276"/>
      <c r="H12" s="279"/>
      <c r="I12" s="362"/>
      <c r="J12" s="362"/>
      <c r="K12" s="362"/>
      <c r="L12" s="362"/>
      <c r="M12" s="362"/>
      <c r="N12" s="362"/>
      <c r="O12" s="279"/>
      <c r="P12" s="362"/>
      <c r="Q12" s="362"/>
      <c r="R12" s="362"/>
      <c r="S12" s="362"/>
      <c r="T12" s="362"/>
      <c r="U12" s="362"/>
      <c r="V12" s="279"/>
      <c r="W12" s="362"/>
      <c r="X12" s="362"/>
      <c r="Y12" s="362"/>
      <c r="Z12" s="362"/>
      <c r="AA12" s="362"/>
      <c r="AB12" s="279"/>
      <c r="AC12" s="279"/>
      <c r="AD12" s="362"/>
      <c r="AE12" s="362"/>
      <c r="AF12" s="362"/>
      <c r="AG12" s="362"/>
      <c r="AH12" s="362"/>
      <c r="AI12" s="279"/>
      <c r="AJ12" s="276"/>
    </row>
    <row r="13" spans="2:36" x14ac:dyDescent="0.2">
      <c r="B13" s="27">
        <v>7864531</v>
      </c>
      <c r="C13" s="13" t="s">
        <v>32</v>
      </c>
      <c r="D13" s="12" t="s">
        <v>33</v>
      </c>
      <c r="E13" s="12" t="s">
        <v>24</v>
      </c>
      <c r="F13" s="276"/>
      <c r="G13" s="276"/>
      <c r="H13" s="279"/>
      <c r="I13" s="362"/>
      <c r="J13" s="362"/>
      <c r="K13" s="362"/>
      <c r="L13" s="362"/>
      <c r="M13" s="362"/>
      <c r="N13" s="362"/>
      <c r="O13" s="279"/>
      <c r="P13" s="276"/>
      <c r="Q13" s="276"/>
      <c r="R13" s="276"/>
      <c r="S13" s="276"/>
      <c r="T13" s="276"/>
      <c r="U13" s="276"/>
      <c r="V13" s="279"/>
      <c r="W13" s="276"/>
      <c r="X13" s="276"/>
      <c r="Y13" s="276"/>
      <c r="Z13" s="276"/>
      <c r="AA13" s="276"/>
      <c r="AB13" s="279"/>
      <c r="AC13" s="279"/>
      <c r="AD13" s="276"/>
      <c r="AE13" s="276"/>
      <c r="AF13" s="276"/>
      <c r="AG13" s="277"/>
      <c r="AH13" s="279"/>
      <c r="AI13" s="279"/>
      <c r="AJ13" s="362"/>
    </row>
    <row r="14" spans="2:36" ht="15" thickBot="1" x14ac:dyDescent="0.25">
      <c r="B14" s="73">
        <v>7916515</v>
      </c>
      <c r="C14" s="74" t="s">
        <v>34</v>
      </c>
      <c r="D14" s="75" t="s">
        <v>35</v>
      </c>
      <c r="E14" s="76" t="s">
        <v>27</v>
      </c>
      <c r="F14" s="362"/>
      <c r="G14" s="362"/>
      <c r="H14" s="279"/>
      <c r="I14" s="276"/>
      <c r="J14" s="276"/>
      <c r="K14" s="276"/>
      <c r="L14" s="276"/>
      <c r="M14" s="276"/>
      <c r="N14" s="276"/>
      <c r="O14" s="279"/>
      <c r="P14" s="277"/>
      <c r="Q14" s="276"/>
      <c r="R14" s="276"/>
      <c r="S14" s="276"/>
      <c r="T14" s="276"/>
      <c r="U14" s="276"/>
      <c r="V14" s="279"/>
      <c r="W14" s="362"/>
      <c r="X14" s="362"/>
      <c r="Y14" s="362"/>
      <c r="Z14" s="362"/>
      <c r="AA14" s="362"/>
      <c r="AB14" s="279"/>
      <c r="AC14" s="279"/>
      <c r="AD14" s="362"/>
      <c r="AE14" s="362"/>
      <c r="AF14" s="362"/>
      <c r="AG14" s="362"/>
      <c r="AH14" s="362"/>
      <c r="AI14" s="279"/>
      <c r="AJ14" s="362"/>
    </row>
    <row r="15" spans="2:36" x14ac:dyDescent="0.2">
      <c r="B15" s="77">
        <v>7597374</v>
      </c>
      <c r="C15" s="78" t="s">
        <v>36</v>
      </c>
      <c r="D15" s="79" t="s">
        <v>37</v>
      </c>
      <c r="E15" s="79" t="s">
        <v>24</v>
      </c>
      <c r="F15" s="276"/>
      <c r="G15" s="276"/>
      <c r="H15" s="276"/>
      <c r="I15" s="279"/>
      <c r="J15" s="276"/>
      <c r="K15" s="279"/>
      <c r="L15" s="279"/>
      <c r="M15" s="277"/>
      <c r="N15" s="276"/>
      <c r="O15" s="276"/>
      <c r="P15" s="279"/>
      <c r="Q15" s="277"/>
      <c r="R15" s="362"/>
      <c r="S15" s="362"/>
      <c r="T15" s="362"/>
      <c r="U15" s="362"/>
      <c r="V15" s="362"/>
      <c r="W15" s="279"/>
      <c r="X15" s="276"/>
      <c r="Y15" s="276"/>
      <c r="Z15" s="276"/>
      <c r="AA15" s="276"/>
      <c r="AB15" s="276"/>
      <c r="AC15" s="279"/>
      <c r="AD15" s="279"/>
      <c r="AE15" s="276"/>
      <c r="AF15" s="276"/>
      <c r="AG15" s="276"/>
      <c r="AH15" s="276"/>
      <c r="AI15" s="276"/>
      <c r="AJ15" s="279"/>
    </row>
    <row r="16" spans="2:36" x14ac:dyDescent="0.2">
      <c r="B16" s="80">
        <v>7828240</v>
      </c>
      <c r="C16" s="81" t="s">
        <v>38</v>
      </c>
      <c r="D16" s="28" t="s">
        <v>39</v>
      </c>
      <c r="E16" s="28" t="s">
        <v>24</v>
      </c>
      <c r="F16" s="362"/>
      <c r="G16" s="362"/>
      <c r="H16" s="362"/>
      <c r="I16" s="279"/>
      <c r="J16" s="276"/>
      <c r="K16" s="276"/>
      <c r="L16" s="276"/>
      <c r="M16" s="276"/>
      <c r="N16" s="276"/>
      <c r="O16" s="276"/>
      <c r="P16" s="279"/>
      <c r="Q16" s="276"/>
      <c r="R16" s="276"/>
      <c r="S16" s="276"/>
      <c r="T16" s="276"/>
      <c r="U16" s="276"/>
      <c r="V16" s="276"/>
      <c r="W16" s="279"/>
      <c r="X16" s="276"/>
      <c r="Y16" s="276"/>
      <c r="Z16" s="276"/>
      <c r="AA16" s="276"/>
      <c r="AB16" s="277"/>
      <c r="AC16" s="279"/>
      <c r="AD16" s="277"/>
      <c r="AE16" s="276"/>
      <c r="AF16" s="276"/>
      <c r="AG16" s="276"/>
      <c r="AH16" s="276"/>
      <c r="AI16" s="276"/>
      <c r="AJ16" s="279"/>
    </row>
    <row r="17" spans="2:36" x14ac:dyDescent="0.2">
      <c r="B17" s="80">
        <v>7837148</v>
      </c>
      <c r="C17" s="81" t="s">
        <v>40</v>
      </c>
      <c r="D17" s="28" t="s">
        <v>41</v>
      </c>
      <c r="E17" s="28" t="s">
        <v>24</v>
      </c>
      <c r="F17" s="276"/>
      <c r="G17" s="276"/>
      <c r="H17" s="276"/>
      <c r="I17" s="279"/>
      <c r="J17" s="362"/>
      <c r="K17" s="362"/>
      <c r="L17" s="362"/>
      <c r="M17" s="362"/>
      <c r="N17" s="362"/>
      <c r="O17" s="277"/>
      <c r="P17" s="279"/>
      <c r="Q17" s="277"/>
      <c r="R17" s="277"/>
      <c r="S17" s="277"/>
      <c r="T17" s="276"/>
      <c r="U17" s="276"/>
      <c r="V17" s="276"/>
      <c r="W17" s="279"/>
      <c r="X17" s="276"/>
      <c r="Y17" s="276"/>
      <c r="Z17" s="276"/>
      <c r="AA17" s="276"/>
      <c r="AB17" s="276"/>
      <c r="AC17" s="279"/>
      <c r="AD17" s="279"/>
      <c r="AE17" s="276"/>
      <c r="AF17" s="276"/>
      <c r="AG17" s="276"/>
      <c r="AH17" s="276"/>
      <c r="AI17" s="276"/>
      <c r="AJ17" s="279"/>
    </row>
    <row r="18" spans="2:36" x14ac:dyDescent="0.2">
      <c r="B18" s="80">
        <v>7589910</v>
      </c>
      <c r="C18" s="81" t="s">
        <v>42</v>
      </c>
      <c r="D18" s="28" t="s">
        <v>43</v>
      </c>
      <c r="E18" s="28" t="s">
        <v>24</v>
      </c>
      <c r="F18" s="362"/>
      <c r="G18" s="362"/>
      <c r="H18" s="362"/>
      <c r="I18" s="279"/>
      <c r="J18" s="276"/>
      <c r="K18" s="276"/>
      <c r="L18" s="276"/>
      <c r="M18" s="276"/>
      <c r="N18" s="276"/>
      <c r="O18" s="276"/>
      <c r="P18" s="279"/>
      <c r="Q18" s="276"/>
      <c r="R18" s="276"/>
      <c r="S18" s="277"/>
      <c r="T18" s="277"/>
      <c r="U18" s="277"/>
      <c r="V18" s="277"/>
      <c r="W18" s="368"/>
      <c r="X18" s="276"/>
      <c r="Y18" s="276"/>
      <c r="Z18" s="276"/>
      <c r="AA18" s="276"/>
      <c r="AB18" s="276"/>
      <c r="AC18" s="279"/>
      <c r="AD18" s="279"/>
      <c r="AE18" s="276"/>
      <c r="AF18" s="276"/>
      <c r="AG18" s="276"/>
      <c r="AH18" s="276"/>
      <c r="AI18" s="276"/>
      <c r="AJ18" s="279"/>
    </row>
    <row r="19" spans="2:36" x14ac:dyDescent="0.2">
      <c r="B19" s="80">
        <v>7697747</v>
      </c>
      <c r="C19" s="81" t="s">
        <v>44</v>
      </c>
      <c r="D19" s="28" t="s">
        <v>118</v>
      </c>
      <c r="E19" s="28" t="s">
        <v>24</v>
      </c>
      <c r="F19" s="276"/>
      <c r="G19" s="276"/>
      <c r="H19" s="276"/>
      <c r="I19" s="279"/>
      <c r="J19" s="362"/>
      <c r="K19" s="362"/>
      <c r="L19" s="362"/>
      <c r="M19" s="362"/>
      <c r="N19" s="362"/>
      <c r="O19" s="277"/>
      <c r="P19" s="279"/>
      <c r="Q19" s="277"/>
      <c r="R19" s="277"/>
      <c r="S19" s="276"/>
      <c r="T19" s="276"/>
      <c r="U19" s="276"/>
      <c r="V19" s="276"/>
      <c r="W19" s="279"/>
      <c r="X19" s="276"/>
      <c r="Y19" s="276"/>
      <c r="Z19" s="276"/>
      <c r="AA19" s="276"/>
      <c r="AB19" s="276"/>
      <c r="AC19" s="279"/>
      <c r="AD19" s="279"/>
      <c r="AE19" s="276"/>
      <c r="AF19" s="276"/>
      <c r="AG19" s="276"/>
      <c r="AH19" s="276"/>
      <c r="AI19" s="276"/>
      <c r="AJ19" s="279"/>
    </row>
    <row r="20" spans="2:36" x14ac:dyDescent="0.2">
      <c r="B20" s="80">
        <v>7870420</v>
      </c>
      <c r="C20" s="81" t="s">
        <v>45</v>
      </c>
      <c r="D20" s="28" t="s">
        <v>46</v>
      </c>
      <c r="E20" s="28" t="s">
        <v>24</v>
      </c>
      <c r="F20" s="276"/>
      <c r="G20" s="276"/>
      <c r="H20" s="276"/>
      <c r="I20" s="279"/>
      <c r="J20" s="276"/>
      <c r="K20" s="276"/>
      <c r="L20" s="276"/>
      <c r="M20" s="276"/>
      <c r="N20" s="276"/>
      <c r="O20" s="276"/>
      <c r="P20" s="279"/>
      <c r="Q20" s="362"/>
      <c r="R20" s="277"/>
      <c r="S20" s="362"/>
      <c r="T20" s="362"/>
      <c r="U20" s="362"/>
      <c r="V20" s="362"/>
      <c r="W20" s="279"/>
      <c r="X20" s="276"/>
      <c r="Y20" s="276"/>
      <c r="Z20" s="276"/>
      <c r="AA20" s="276"/>
      <c r="AB20" s="276"/>
      <c r="AC20" s="279"/>
      <c r="AD20" s="279"/>
      <c r="AE20" s="362"/>
      <c r="AF20" s="362"/>
      <c r="AG20" s="362"/>
      <c r="AH20" s="362"/>
      <c r="AI20" s="362"/>
      <c r="AJ20" s="279"/>
    </row>
    <row r="21" spans="2:36" x14ac:dyDescent="0.2">
      <c r="B21" s="24">
        <v>7471068</v>
      </c>
      <c r="C21" s="25" t="s">
        <v>47</v>
      </c>
      <c r="D21" s="26" t="s">
        <v>48</v>
      </c>
      <c r="E21" s="26" t="s">
        <v>24</v>
      </c>
      <c r="F21" s="362"/>
      <c r="G21" s="362"/>
      <c r="H21" s="362"/>
      <c r="I21" s="279"/>
      <c r="J21" s="276"/>
      <c r="K21" s="276"/>
      <c r="L21" s="276"/>
      <c r="M21" s="276"/>
      <c r="N21" s="276"/>
      <c r="O21" s="276"/>
      <c r="P21" s="279"/>
      <c r="Q21" s="276"/>
      <c r="R21" s="276"/>
      <c r="S21" s="277"/>
      <c r="T21" s="277"/>
      <c r="U21" s="277"/>
      <c r="V21" s="277"/>
      <c r="W21" s="279"/>
      <c r="X21" s="276"/>
      <c r="Y21" s="276"/>
      <c r="Z21" s="276"/>
      <c r="AA21" s="276"/>
      <c r="AB21" s="276"/>
      <c r="AC21" s="279"/>
      <c r="AD21" s="279"/>
      <c r="AE21" s="276"/>
      <c r="AF21" s="276"/>
      <c r="AG21" s="276"/>
      <c r="AH21" s="276"/>
      <c r="AI21" s="276"/>
      <c r="AJ21" s="279"/>
    </row>
    <row r="22" spans="2:36" x14ac:dyDescent="0.2">
      <c r="B22" s="80">
        <v>7908832</v>
      </c>
      <c r="C22" s="81" t="s">
        <v>49</v>
      </c>
      <c r="D22" s="28" t="s">
        <v>50</v>
      </c>
      <c r="E22" s="28" t="s">
        <v>27</v>
      </c>
      <c r="F22" s="362"/>
      <c r="G22" s="362"/>
      <c r="H22" s="362"/>
      <c r="I22" s="279"/>
      <c r="J22" s="276"/>
      <c r="K22" s="276"/>
      <c r="L22" s="276"/>
      <c r="M22" s="276"/>
      <c r="N22" s="276"/>
      <c r="O22" s="276"/>
      <c r="P22" s="279"/>
      <c r="Q22" s="276"/>
      <c r="R22" s="276"/>
      <c r="S22" s="277"/>
      <c r="T22" s="277"/>
      <c r="U22" s="277"/>
      <c r="V22" s="277"/>
      <c r="W22" s="279"/>
      <c r="X22" s="276"/>
      <c r="Y22" s="276"/>
      <c r="Z22" s="276"/>
      <c r="AA22" s="276"/>
      <c r="AB22" s="276"/>
      <c r="AC22" s="279"/>
      <c r="AD22" s="279"/>
      <c r="AE22" s="276"/>
      <c r="AF22" s="276"/>
      <c r="AG22" s="276"/>
      <c r="AH22" s="276"/>
      <c r="AI22" s="276"/>
      <c r="AJ22" s="279"/>
    </row>
    <row r="23" spans="2:36" ht="15" thickBot="1" x14ac:dyDescent="0.25">
      <c r="B23" s="68">
        <v>7897545</v>
      </c>
      <c r="C23" s="69" t="s">
        <v>51</v>
      </c>
      <c r="D23" s="29" t="s">
        <v>52</v>
      </c>
      <c r="E23" s="29" t="s">
        <v>24</v>
      </c>
      <c r="F23" s="369"/>
      <c r="G23" s="369"/>
      <c r="H23" s="369"/>
      <c r="I23" s="369"/>
      <c r="J23" s="279"/>
      <c r="K23" s="369"/>
      <c r="L23" s="369"/>
      <c r="M23" s="369"/>
      <c r="N23" s="369"/>
      <c r="O23" s="369"/>
      <c r="P23" s="369"/>
      <c r="Q23" s="369"/>
      <c r="R23" s="369"/>
      <c r="S23" s="279"/>
      <c r="T23" s="369"/>
      <c r="U23" s="369"/>
      <c r="V23" s="369"/>
      <c r="W23" s="369"/>
      <c r="X23" s="369"/>
      <c r="Y23" s="369"/>
      <c r="Z23" s="369"/>
      <c r="AA23" s="369"/>
      <c r="AB23" s="277"/>
      <c r="AC23" s="279"/>
      <c r="AD23" s="370"/>
      <c r="AE23" s="370"/>
      <c r="AF23" s="370"/>
      <c r="AG23" s="279"/>
      <c r="AH23" s="370"/>
      <c r="AI23" s="370"/>
      <c r="AJ23" s="279"/>
    </row>
    <row r="24" spans="2:36" x14ac:dyDescent="0.2">
      <c r="B24" s="82">
        <v>5956003</v>
      </c>
      <c r="C24" s="83" t="s">
        <v>53</v>
      </c>
      <c r="D24" s="30" t="s">
        <v>54</v>
      </c>
      <c r="E24" s="30" t="s">
        <v>24</v>
      </c>
      <c r="F24" s="276"/>
      <c r="G24" s="276"/>
      <c r="H24" s="276"/>
      <c r="I24" s="276"/>
      <c r="J24" s="279"/>
      <c r="K24" s="362"/>
      <c r="L24" s="362"/>
      <c r="M24" s="362"/>
      <c r="N24" s="362"/>
      <c r="O24" s="362"/>
      <c r="P24" s="362"/>
      <c r="Q24" s="279"/>
      <c r="R24" s="362"/>
      <c r="S24" s="362"/>
      <c r="T24" s="362"/>
      <c r="U24" s="362"/>
      <c r="V24" s="362"/>
      <c r="W24" s="362"/>
      <c r="X24" s="279"/>
      <c r="Y24" s="276"/>
      <c r="Z24" s="276"/>
      <c r="AA24" s="276"/>
      <c r="AB24" s="276"/>
      <c r="AC24" s="276"/>
      <c r="AD24" s="279"/>
      <c r="AE24" s="279"/>
      <c r="AF24" s="276"/>
      <c r="AG24" s="276"/>
      <c r="AH24" s="276"/>
      <c r="AI24" s="276"/>
      <c r="AJ24" s="277"/>
    </row>
    <row r="25" spans="2:36" x14ac:dyDescent="0.2">
      <c r="B25" s="31">
        <v>7815844</v>
      </c>
      <c r="C25" s="32" t="s">
        <v>55</v>
      </c>
      <c r="D25" s="33" t="s">
        <v>56</v>
      </c>
      <c r="E25" s="33" t="s">
        <v>24</v>
      </c>
      <c r="F25" s="276"/>
      <c r="G25" s="276"/>
      <c r="H25" s="276"/>
      <c r="I25" s="276"/>
      <c r="J25" s="279"/>
      <c r="K25" s="276"/>
      <c r="L25" s="276"/>
      <c r="M25" s="276"/>
      <c r="N25" s="276"/>
      <c r="O25" s="276"/>
      <c r="P25" s="276"/>
      <c r="Q25" s="279"/>
      <c r="R25" s="276"/>
      <c r="S25" s="276"/>
      <c r="T25" s="276"/>
      <c r="U25" s="276"/>
      <c r="V25" s="276"/>
      <c r="W25" s="276"/>
      <c r="X25" s="279"/>
      <c r="Y25" s="362"/>
      <c r="Z25" s="362"/>
      <c r="AA25" s="362"/>
      <c r="AB25" s="362"/>
      <c r="AC25" s="362"/>
      <c r="AD25" s="279"/>
      <c r="AE25" s="279"/>
      <c r="AF25" s="276"/>
      <c r="AG25" s="276"/>
      <c r="AH25" s="276"/>
      <c r="AI25" s="276"/>
      <c r="AJ25" s="276"/>
    </row>
    <row r="26" spans="2:36" x14ac:dyDescent="0.2">
      <c r="B26" s="31">
        <v>5012880</v>
      </c>
      <c r="C26" s="32" t="s">
        <v>57</v>
      </c>
      <c r="D26" s="33" t="s">
        <v>58</v>
      </c>
      <c r="E26" s="33" t="s">
        <v>24</v>
      </c>
      <c r="F26" s="276"/>
      <c r="G26" s="276"/>
      <c r="H26" s="276"/>
      <c r="I26" s="276"/>
      <c r="J26" s="279"/>
      <c r="K26" s="362"/>
      <c r="L26" s="362"/>
      <c r="M26" s="277"/>
      <c r="N26" s="277"/>
      <c r="O26" s="362"/>
      <c r="P26" s="362"/>
      <c r="Q26" s="279"/>
      <c r="R26" s="276"/>
      <c r="S26" s="276"/>
      <c r="T26" s="276"/>
      <c r="U26" s="276"/>
      <c r="V26" s="276"/>
      <c r="W26" s="276"/>
      <c r="X26" s="279"/>
      <c r="Y26" s="276"/>
      <c r="Z26" s="276"/>
      <c r="AA26" s="276"/>
      <c r="AB26" s="276"/>
      <c r="AC26" s="276"/>
      <c r="AD26" s="279"/>
      <c r="AE26" s="279"/>
      <c r="AF26" s="276"/>
      <c r="AG26" s="276"/>
      <c r="AH26" s="276"/>
      <c r="AI26" s="276"/>
      <c r="AJ26" s="276"/>
    </row>
    <row r="27" spans="2:36" x14ac:dyDescent="0.2">
      <c r="B27" s="31">
        <v>7743929</v>
      </c>
      <c r="C27" s="32" t="s">
        <v>59</v>
      </c>
      <c r="D27" s="33" t="s">
        <v>60</v>
      </c>
      <c r="E27" s="33" t="s">
        <v>24</v>
      </c>
      <c r="F27" s="276"/>
      <c r="G27" s="276"/>
      <c r="H27" s="276"/>
      <c r="I27" s="276"/>
      <c r="J27" s="279"/>
      <c r="K27" s="276"/>
      <c r="L27" s="276"/>
      <c r="M27" s="276"/>
      <c r="N27" s="276"/>
      <c r="O27" s="276"/>
      <c r="P27" s="276"/>
      <c r="Q27" s="279"/>
      <c r="R27" s="276"/>
      <c r="S27" s="276"/>
      <c r="T27" s="276"/>
      <c r="U27" s="276"/>
      <c r="V27" s="276"/>
      <c r="W27" s="276"/>
      <c r="X27" s="279"/>
      <c r="Y27" s="276"/>
      <c r="Z27" s="276"/>
      <c r="AA27" s="276"/>
      <c r="AB27" s="276"/>
      <c r="AC27" s="276"/>
      <c r="AD27" s="279"/>
      <c r="AE27" s="279"/>
      <c r="AF27" s="276"/>
      <c r="AG27" s="276"/>
      <c r="AH27" s="276"/>
      <c r="AI27" s="276"/>
      <c r="AJ27" s="276"/>
    </row>
    <row r="28" spans="2:36" x14ac:dyDescent="0.2">
      <c r="B28" s="31">
        <v>7804315</v>
      </c>
      <c r="C28" s="32" t="s">
        <v>61</v>
      </c>
      <c r="D28" s="33" t="s">
        <v>62</v>
      </c>
      <c r="E28" s="33" t="s">
        <v>27</v>
      </c>
      <c r="F28" s="362"/>
      <c r="G28" s="362"/>
      <c r="H28" s="362"/>
      <c r="I28" s="362"/>
      <c r="J28" s="279"/>
      <c r="K28" s="276"/>
      <c r="L28" s="276"/>
      <c r="M28" s="276"/>
      <c r="N28" s="276"/>
      <c r="O28" s="276"/>
      <c r="P28" s="277"/>
      <c r="Q28" s="279"/>
      <c r="R28" s="276"/>
      <c r="S28" s="276"/>
      <c r="T28" s="276"/>
      <c r="U28" s="276"/>
      <c r="V28" s="276"/>
      <c r="W28" s="276"/>
      <c r="X28" s="279"/>
      <c r="Y28" s="276"/>
      <c r="Z28" s="276"/>
      <c r="AA28" s="276"/>
      <c r="AB28" s="276"/>
      <c r="AC28" s="276"/>
      <c r="AD28" s="279"/>
      <c r="AE28" s="279"/>
      <c r="AF28" s="362"/>
      <c r="AG28" s="362"/>
      <c r="AH28" s="362"/>
      <c r="AI28" s="362"/>
      <c r="AJ28" s="362"/>
    </row>
    <row r="29" spans="2:36" x14ac:dyDescent="0.2">
      <c r="B29" s="31">
        <v>7804355</v>
      </c>
      <c r="C29" s="32" t="s">
        <v>63</v>
      </c>
      <c r="D29" s="33" t="s">
        <v>64</v>
      </c>
      <c r="E29" s="33" t="s">
        <v>24</v>
      </c>
      <c r="F29" s="276"/>
      <c r="G29" s="276"/>
      <c r="H29" s="276"/>
      <c r="I29" s="276"/>
      <c r="J29" s="279"/>
      <c r="K29" s="276"/>
      <c r="L29" s="276"/>
      <c r="M29" s="276"/>
      <c r="N29" s="276"/>
      <c r="O29" s="276"/>
      <c r="P29" s="276"/>
      <c r="Q29" s="279"/>
      <c r="R29" s="276"/>
      <c r="S29" s="276"/>
      <c r="T29" s="276"/>
      <c r="U29" s="276"/>
      <c r="V29" s="276"/>
      <c r="W29" s="276"/>
      <c r="X29" s="279"/>
      <c r="Y29" s="362"/>
      <c r="Z29" s="362"/>
      <c r="AA29" s="362"/>
      <c r="AB29" s="362"/>
      <c r="AC29" s="362"/>
      <c r="AD29" s="279"/>
      <c r="AE29" s="279"/>
      <c r="AF29" s="276"/>
      <c r="AG29" s="276"/>
      <c r="AH29" s="276"/>
      <c r="AI29" s="276"/>
      <c r="AJ29" s="276"/>
    </row>
    <row r="30" spans="2:36" x14ac:dyDescent="0.2">
      <c r="B30" s="31">
        <v>5828232</v>
      </c>
      <c r="C30" s="32" t="s">
        <v>65</v>
      </c>
      <c r="D30" s="33" t="s">
        <v>66</v>
      </c>
      <c r="E30" s="33" t="s">
        <v>24</v>
      </c>
      <c r="F30" s="276"/>
      <c r="G30" s="276"/>
      <c r="H30" s="276"/>
      <c r="I30" s="276"/>
      <c r="J30" s="279"/>
      <c r="K30" s="276"/>
      <c r="L30" s="276"/>
      <c r="M30" s="276"/>
      <c r="N30" s="276"/>
      <c r="O30" s="276"/>
      <c r="P30" s="277"/>
      <c r="Q30" s="279"/>
      <c r="R30" s="362"/>
      <c r="S30" s="362"/>
      <c r="T30" s="362"/>
      <c r="U30" s="362"/>
      <c r="V30" s="362"/>
      <c r="W30" s="362"/>
      <c r="X30" s="279"/>
      <c r="Y30" s="362"/>
      <c r="Z30" s="362"/>
      <c r="AA30" s="362"/>
      <c r="AB30" s="362"/>
      <c r="AC30" s="362"/>
      <c r="AD30" s="279"/>
      <c r="AE30" s="279"/>
      <c r="AF30" s="362"/>
      <c r="AG30" s="362"/>
      <c r="AH30" s="362"/>
      <c r="AI30" s="362"/>
      <c r="AJ30" s="362"/>
    </row>
    <row r="31" spans="2:36" ht="15" thickBot="1" x14ac:dyDescent="0.25">
      <c r="B31" s="34">
        <v>7904754</v>
      </c>
      <c r="C31" s="35" t="s">
        <v>67</v>
      </c>
      <c r="D31" s="36" t="s">
        <v>68</v>
      </c>
      <c r="E31" s="36" t="s">
        <v>24</v>
      </c>
      <c r="F31" s="276"/>
      <c r="G31" s="276"/>
      <c r="H31" s="276"/>
      <c r="I31" s="276"/>
      <c r="J31" s="279"/>
      <c r="K31" s="276"/>
      <c r="L31" s="276"/>
      <c r="M31" s="276"/>
      <c r="N31" s="276"/>
      <c r="O31" s="276"/>
      <c r="P31" s="276"/>
      <c r="Q31" s="279"/>
      <c r="R31" s="276"/>
      <c r="S31" s="276"/>
      <c r="T31" s="276"/>
      <c r="U31" s="276"/>
      <c r="V31" s="276"/>
      <c r="W31" s="276"/>
      <c r="X31" s="279"/>
      <c r="Y31" s="362"/>
      <c r="Z31" s="362"/>
      <c r="AA31" s="362"/>
      <c r="AB31" s="362"/>
      <c r="AC31" s="362"/>
      <c r="AD31" s="279"/>
      <c r="AE31" s="279"/>
      <c r="AF31" s="276"/>
      <c r="AG31" s="276"/>
      <c r="AH31" s="277"/>
      <c r="AI31" s="277"/>
      <c r="AJ31" s="277"/>
    </row>
    <row r="32" spans="2:36" x14ac:dyDescent="0.2">
      <c r="B32" s="124" t="s">
        <v>69</v>
      </c>
      <c r="C32" s="125" t="s">
        <v>70</v>
      </c>
      <c r="D32" s="126" t="s">
        <v>71</v>
      </c>
      <c r="E32" s="37" t="s">
        <v>24</v>
      </c>
      <c r="F32" s="362"/>
      <c r="G32" s="362"/>
      <c r="H32" s="362"/>
      <c r="I32" s="362"/>
      <c r="J32" s="362"/>
      <c r="K32" s="279"/>
      <c r="L32" s="276"/>
      <c r="M32" s="276"/>
      <c r="N32" s="276"/>
      <c r="O32" s="276"/>
      <c r="P32" s="276"/>
      <c r="Q32" s="277"/>
      <c r="R32" s="279"/>
      <c r="S32" s="276"/>
      <c r="T32" s="276"/>
      <c r="U32" s="276"/>
      <c r="V32" s="276"/>
      <c r="W32" s="276"/>
      <c r="X32" s="276"/>
      <c r="Y32" s="279"/>
      <c r="Z32" s="276"/>
      <c r="AA32" s="276"/>
      <c r="AB32" s="276"/>
      <c r="AC32" s="276"/>
      <c r="AD32" s="276"/>
      <c r="AE32" s="279"/>
      <c r="AF32" s="276"/>
      <c r="AG32" s="276"/>
      <c r="AH32" s="276"/>
      <c r="AI32" s="276"/>
      <c r="AJ32" s="276"/>
    </row>
    <row r="33" spans="2:36" x14ac:dyDescent="0.2">
      <c r="B33" s="127">
        <v>7828242</v>
      </c>
      <c r="C33" s="128" t="s">
        <v>72</v>
      </c>
      <c r="D33" s="129" t="s">
        <v>73</v>
      </c>
      <c r="E33" s="22" t="s">
        <v>24</v>
      </c>
      <c r="F33" s="276"/>
      <c r="G33" s="276"/>
      <c r="H33" s="276"/>
      <c r="I33" s="276"/>
      <c r="J33" s="276"/>
      <c r="K33" s="279"/>
      <c r="L33" s="362"/>
      <c r="M33" s="362"/>
      <c r="N33" s="362"/>
      <c r="O33" s="362"/>
      <c r="P33" s="362"/>
      <c r="Q33" s="362"/>
      <c r="R33" s="279"/>
      <c r="S33" s="276"/>
      <c r="T33" s="276"/>
      <c r="U33" s="276"/>
      <c r="V33" s="276"/>
      <c r="W33" s="276"/>
      <c r="X33" s="276"/>
      <c r="Y33" s="279"/>
      <c r="Z33" s="276"/>
      <c r="AA33" s="276"/>
      <c r="AB33" s="276"/>
      <c r="AC33" s="276"/>
      <c r="AD33" s="276"/>
      <c r="AE33" s="279"/>
      <c r="AF33" s="279"/>
      <c r="AG33" s="276"/>
      <c r="AH33" s="276"/>
      <c r="AI33" s="276"/>
      <c r="AJ33" s="276"/>
    </row>
    <row r="34" spans="2:36" x14ac:dyDescent="0.2">
      <c r="B34" s="84">
        <v>6227745</v>
      </c>
      <c r="C34" s="85" t="s">
        <v>74</v>
      </c>
      <c r="D34" s="86" t="s">
        <v>75</v>
      </c>
      <c r="E34" s="22" t="s">
        <v>24</v>
      </c>
      <c r="F34" s="362"/>
      <c r="G34" s="362"/>
      <c r="H34" s="362"/>
      <c r="I34" s="362"/>
      <c r="J34" s="362"/>
      <c r="K34" s="279"/>
      <c r="L34" s="276"/>
      <c r="M34" s="276"/>
      <c r="N34" s="276"/>
      <c r="O34" s="276"/>
      <c r="P34" s="276"/>
      <c r="Q34" s="276"/>
      <c r="R34" s="279"/>
      <c r="S34" s="276"/>
      <c r="T34" s="276"/>
      <c r="U34" s="276"/>
      <c r="V34" s="276"/>
      <c r="W34" s="276"/>
      <c r="X34" s="276"/>
      <c r="Y34" s="279"/>
      <c r="Z34" s="362"/>
      <c r="AA34" s="362"/>
      <c r="AB34" s="362"/>
      <c r="AC34" s="362"/>
      <c r="AD34" s="362"/>
      <c r="AE34" s="279"/>
      <c r="AF34" s="279"/>
      <c r="AG34" s="362"/>
      <c r="AH34" s="362"/>
      <c r="AI34" s="362"/>
      <c r="AJ34" s="362"/>
    </row>
    <row r="35" spans="2:36" x14ac:dyDescent="0.2">
      <c r="B35" s="130">
        <v>7730037</v>
      </c>
      <c r="C35" s="131" t="s">
        <v>76</v>
      </c>
      <c r="D35" s="132" t="s">
        <v>77</v>
      </c>
      <c r="E35" s="133" t="s">
        <v>27</v>
      </c>
      <c r="F35" s="276"/>
      <c r="G35" s="276"/>
      <c r="H35" s="276"/>
      <c r="I35" s="276"/>
      <c r="J35" s="276"/>
      <c r="K35" s="279"/>
      <c r="L35" s="362"/>
      <c r="M35" s="362"/>
      <c r="N35" s="362"/>
      <c r="O35" s="362"/>
      <c r="P35" s="362"/>
      <c r="Q35" s="362"/>
      <c r="R35" s="279"/>
      <c r="S35" s="362"/>
      <c r="T35" s="362"/>
      <c r="U35" s="362"/>
      <c r="V35" s="362"/>
      <c r="W35" s="362"/>
      <c r="X35" s="362"/>
      <c r="Y35" s="279"/>
      <c r="Z35" s="276"/>
      <c r="AA35" s="276"/>
      <c r="AB35" s="276"/>
      <c r="AC35" s="276"/>
      <c r="AD35" s="276"/>
      <c r="AE35" s="279"/>
      <c r="AF35" s="279"/>
      <c r="AG35" s="276"/>
      <c r="AH35" s="276"/>
      <c r="AI35" s="276"/>
      <c r="AJ35" s="276"/>
    </row>
    <row r="36" spans="2:36" x14ac:dyDescent="0.2">
      <c r="B36" s="127">
        <v>7804271</v>
      </c>
      <c r="C36" s="128" t="s">
        <v>78</v>
      </c>
      <c r="D36" s="129" t="s">
        <v>79</v>
      </c>
      <c r="E36" s="22" t="s">
        <v>27</v>
      </c>
      <c r="F36" s="276"/>
      <c r="G36" s="276"/>
      <c r="H36" s="276"/>
      <c r="I36" s="276"/>
      <c r="J36" s="276"/>
      <c r="K36" s="279"/>
      <c r="L36" s="362"/>
      <c r="M36" s="362"/>
      <c r="N36" s="362"/>
      <c r="O36" s="362"/>
      <c r="P36" s="362"/>
      <c r="Q36" s="362"/>
      <c r="R36" s="279"/>
      <c r="S36" s="276"/>
      <c r="T36" s="276"/>
      <c r="U36" s="276"/>
      <c r="V36" s="276"/>
      <c r="W36" s="276"/>
      <c r="X36" s="276"/>
      <c r="Y36" s="279"/>
      <c r="Z36" s="276"/>
      <c r="AA36" s="276"/>
      <c r="AB36" s="276"/>
      <c r="AC36" s="276"/>
      <c r="AD36" s="276"/>
      <c r="AE36" s="279"/>
      <c r="AF36" s="279"/>
      <c r="AG36" s="276"/>
      <c r="AH36" s="276"/>
      <c r="AI36" s="276"/>
      <c r="AJ36" s="276"/>
    </row>
    <row r="37" spans="2:36" x14ac:dyDescent="0.2">
      <c r="B37" s="61">
        <v>7929004</v>
      </c>
      <c r="C37" s="62" t="s">
        <v>80</v>
      </c>
      <c r="D37" s="63" t="s">
        <v>81</v>
      </c>
      <c r="E37" s="87" t="s">
        <v>27</v>
      </c>
      <c r="F37" s="276"/>
      <c r="G37" s="276"/>
      <c r="H37" s="276"/>
      <c r="I37" s="276"/>
      <c r="J37" s="276"/>
      <c r="K37" s="279"/>
      <c r="L37" s="276"/>
      <c r="M37" s="276"/>
      <c r="N37" s="276"/>
      <c r="O37" s="276"/>
      <c r="P37" s="276"/>
      <c r="Q37" s="276"/>
      <c r="R37" s="279"/>
      <c r="S37" s="276"/>
      <c r="T37" s="276"/>
      <c r="U37" s="276"/>
      <c r="V37" s="276"/>
      <c r="W37" s="276"/>
      <c r="X37" s="276"/>
      <c r="Y37" s="279"/>
      <c r="Z37" s="362"/>
      <c r="AA37" s="362"/>
      <c r="AB37" s="362"/>
      <c r="AC37" s="362"/>
      <c r="AD37" s="362"/>
      <c r="AE37" s="279"/>
      <c r="AF37" s="279"/>
      <c r="AG37" s="362"/>
      <c r="AH37" s="362"/>
      <c r="AI37" s="362"/>
      <c r="AJ37" s="362"/>
    </row>
    <row r="38" spans="2:36" ht="15" thickBot="1" x14ac:dyDescent="0.25">
      <c r="B38" s="84">
        <v>7892982</v>
      </c>
      <c r="C38" s="85" t="s">
        <v>82</v>
      </c>
      <c r="D38" s="86" t="s">
        <v>83</v>
      </c>
      <c r="E38" s="22" t="s">
        <v>27</v>
      </c>
      <c r="F38" s="276"/>
      <c r="G38" s="276"/>
      <c r="H38" s="276"/>
      <c r="I38" s="276"/>
      <c r="J38" s="276"/>
      <c r="K38" s="279"/>
      <c r="L38" s="276"/>
      <c r="M38" s="276"/>
      <c r="N38" s="276"/>
      <c r="O38" s="276"/>
      <c r="P38" s="276"/>
      <c r="Q38" s="276"/>
      <c r="R38" s="279"/>
      <c r="S38" s="362"/>
      <c r="T38" s="362"/>
      <c r="U38" s="362"/>
      <c r="V38" s="362"/>
      <c r="W38" s="362"/>
      <c r="X38" s="362"/>
      <c r="Y38" s="279"/>
      <c r="Z38" s="276"/>
      <c r="AA38" s="276"/>
      <c r="AB38" s="276"/>
      <c r="AC38" s="276"/>
      <c r="AD38" s="276"/>
      <c r="AE38" s="279"/>
      <c r="AF38" s="279"/>
      <c r="AG38" s="276"/>
      <c r="AH38" s="276"/>
      <c r="AI38" s="276"/>
      <c r="AJ38" s="276"/>
    </row>
    <row r="39" spans="2:36" x14ac:dyDescent="0.2">
      <c r="B39" s="88">
        <v>7546024</v>
      </c>
      <c r="C39" s="89" t="s">
        <v>85</v>
      </c>
      <c r="D39" s="90" t="s">
        <v>86</v>
      </c>
      <c r="E39" s="91" t="s">
        <v>24</v>
      </c>
      <c r="F39" s="279"/>
      <c r="G39" s="276"/>
      <c r="H39" s="276"/>
      <c r="I39" s="276"/>
      <c r="J39" s="276"/>
      <c r="K39" s="276"/>
      <c r="L39" s="279"/>
      <c r="M39" s="276"/>
      <c r="N39" s="276"/>
      <c r="O39" s="276"/>
      <c r="P39" s="276"/>
      <c r="Q39" s="276"/>
      <c r="R39" s="276"/>
      <c r="S39" s="279"/>
      <c r="T39" s="276"/>
      <c r="U39" s="276"/>
      <c r="V39" s="276"/>
      <c r="W39" s="276"/>
      <c r="X39" s="276"/>
      <c r="Y39" s="276"/>
      <c r="Z39" s="279"/>
      <c r="AA39" s="362"/>
      <c r="AB39" s="362"/>
      <c r="AC39" s="362"/>
      <c r="AD39" s="362"/>
      <c r="AE39" s="362"/>
      <c r="AF39" s="279"/>
      <c r="AG39" s="279"/>
      <c r="AH39" s="362"/>
      <c r="AI39" s="362"/>
      <c r="AJ39" s="362"/>
    </row>
    <row r="40" spans="2:36" x14ac:dyDescent="0.2">
      <c r="B40" s="64" t="s">
        <v>87</v>
      </c>
      <c r="C40" s="65" t="s">
        <v>88</v>
      </c>
      <c r="D40" s="66" t="s">
        <v>89</v>
      </c>
      <c r="E40" s="23" t="s">
        <v>24</v>
      </c>
      <c r="F40" s="279"/>
      <c r="G40" s="362"/>
      <c r="H40" s="362"/>
      <c r="I40" s="362"/>
      <c r="J40" s="362"/>
      <c r="K40" s="362"/>
      <c r="L40" s="279"/>
      <c r="M40" s="362"/>
      <c r="N40" s="362"/>
      <c r="O40" s="362"/>
      <c r="P40" s="362"/>
      <c r="Q40" s="362"/>
      <c r="R40" s="277"/>
      <c r="S40" s="279"/>
      <c r="T40" s="276"/>
      <c r="U40" s="276"/>
      <c r="V40" s="276"/>
      <c r="W40" s="276"/>
      <c r="X40" s="276"/>
      <c r="Y40" s="276"/>
      <c r="Z40" s="279"/>
      <c r="AA40" s="276"/>
      <c r="AB40" s="276"/>
      <c r="AC40" s="276"/>
      <c r="AD40" s="276"/>
      <c r="AE40" s="276"/>
      <c r="AF40" s="279"/>
      <c r="AG40" s="279"/>
      <c r="AH40" s="362"/>
      <c r="AI40" s="362"/>
      <c r="AJ40" s="362"/>
    </row>
    <row r="41" spans="2:36" x14ac:dyDescent="0.2">
      <c r="B41" s="92">
        <v>7657458</v>
      </c>
      <c r="C41" s="65" t="s">
        <v>90</v>
      </c>
      <c r="D41" s="66" t="s">
        <v>91</v>
      </c>
      <c r="E41" s="23" t="s">
        <v>24</v>
      </c>
      <c r="F41" s="279"/>
      <c r="G41" s="276"/>
      <c r="H41" s="276"/>
      <c r="I41" s="276"/>
      <c r="J41" s="276"/>
      <c r="K41" s="276"/>
      <c r="L41" s="279"/>
      <c r="M41" s="276"/>
      <c r="N41" s="276"/>
      <c r="O41" s="276"/>
      <c r="P41" s="276"/>
      <c r="Q41" s="276"/>
      <c r="R41" s="276"/>
      <c r="S41" s="279"/>
      <c r="T41" s="362"/>
      <c r="U41" s="362"/>
      <c r="V41" s="362"/>
      <c r="W41" s="362"/>
      <c r="X41" s="362"/>
      <c r="Y41" s="362"/>
      <c r="Z41" s="279"/>
      <c r="AA41" s="276"/>
      <c r="AB41" s="276"/>
      <c r="AC41" s="276"/>
      <c r="AD41" s="276"/>
      <c r="AE41" s="276"/>
      <c r="AF41" s="279"/>
      <c r="AG41" s="279"/>
      <c r="AH41" s="277"/>
      <c r="AI41" s="277"/>
      <c r="AJ41" s="276"/>
    </row>
    <row r="42" spans="2:36" x14ac:dyDescent="0.2">
      <c r="B42" s="92">
        <v>7864530</v>
      </c>
      <c r="C42" s="65" t="s">
        <v>92</v>
      </c>
      <c r="D42" s="66" t="s">
        <v>93</v>
      </c>
      <c r="E42" s="23" t="s">
        <v>24</v>
      </c>
      <c r="F42" s="279"/>
      <c r="G42" s="276"/>
      <c r="H42" s="276"/>
      <c r="I42" s="276"/>
      <c r="J42" s="276"/>
      <c r="K42" s="276"/>
      <c r="L42" s="279"/>
      <c r="M42" s="276"/>
      <c r="N42" s="276"/>
      <c r="O42" s="276"/>
      <c r="P42" s="276"/>
      <c r="Q42" s="276"/>
      <c r="R42" s="276"/>
      <c r="S42" s="279"/>
      <c r="T42" s="362"/>
      <c r="U42" s="362"/>
      <c r="V42" s="362"/>
      <c r="W42" s="362"/>
      <c r="X42" s="362"/>
      <c r="Y42" s="362"/>
      <c r="Z42" s="279"/>
      <c r="AA42" s="276"/>
      <c r="AB42" s="276"/>
      <c r="AC42" s="276"/>
      <c r="AD42" s="276"/>
      <c r="AE42" s="276"/>
      <c r="AF42" s="279"/>
      <c r="AG42" s="279"/>
      <c r="AH42" s="277"/>
      <c r="AI42" s="277"/>
      <c r="AJ42" s="276"/>
    </row>
    <row r="43" spans="2:36" x14ac:dyDescent="0.2">
      <c r="B43" s="92">
        <v>7723497</v>
      </c>
      <c r="C43" s="65" t="s">
        <v>94</v>
      </c>
      <c r="D43" s="66" t="s">
        <v>95</v>
      </c>
      <c r="E43" s="23" t="s">
        <v>24</v>
      </c>
      <c r="F43" s="279"/>
      <c r="G43" s="362"/>
      <c r="H43" s="362"/>
      <c r="I43" s="362"/>
      <c r="J43" s="362"/>
      <c r="K43" s="362"/>
      <c r="L43" s="279"/>
      <c r="M43" s="362"/>
      <c r="N43" s="362"/>
      <c r="O43" s="362"/>
      <c r="P43" s="362"/>
      <c r="Q43" s="362"/>
      <c r="R43" s="362"/>
      <c r="S43" s="279"/>
      <c r="T43" s="276"/>
      <c r="U43" s="276"/>
      <c r="V43" s="276"/>
      <c r="W43" s="276"/>
      <c r="X43" s="276"/>
      <c r="Y43" s="276"/>
      <c r="Z43" s="279"/>
      <c r="AA43" s="276"/>
      <c r="AB43" s="276"/>
      <c r="AC43" s="276"/>
      <c r="AD43" s="276"/>
      <c r="AE43" s="276"/>
      <c r="AF43" s="279"/>
      <c r="AG43" s="279"/>
      <c r="AH43" s="276"/>
      <c r="AI43" s="276"/>
      <c r="AJ43" s="276"/>
    </row>
    <row r="44" spans="2:36" x14ac:dyDescent="0.2">
      <c r="B44" s="93">
        <v>7913980</v>
      </c>
      <c r="C44" s="94" t="s">
        <v>96</v>
      </c>
      <c r="D44" s="95" t="s">
        <v>97</v>
      </c>
      <c r="E44" s="38" t="s">
        <v>27</v>
      </c>
      <c r="F44" s="279"/>
      <c r="G44" s="362"/>
      <c r="H44" s="362"/>
      <c r="I44" s="362"/>
      <c r="J44" s="362"/>
      <c r="K44" s="362"/>
      <c r="L44" s="279"/>
      <c r="M44" s="277"/>
      <c r="N44" s="277"/>
      <c r="O44" s="277"/>
      <c r="P44" s="276"/>
      <c r="Q44" s="276"/>
      <c r="R44" s="276"/>
      <c r="S44" s="279"/>
      <c r="T44" s="276"/>
      <c r="U44" s="276"/>
      <c r="V44" s="276"/>
      <c r="W44" s="276"/>
      <c r="X44" s="276"/>
      <c r="Y44" s="276"/>
      <c r="Z44" s="279"/>
      <c r="AA44" s="362"/>
      <c r="AB44" s="362"/>
      <c r="AC44" s="362"/>
      <c r="AD44" s="362"/>
      <c r="AE44" s="362"/>
      <c r="AF44" s="279"/>
      <c r="AG44" s="279"/>
      <c r="AH44" s="362"/>
      <c r="AI44" s="362"/>
      <c r="AJ44" s="362"/>
    </row>
    <row r="45" spans="2:36" ht="15" thickBot="1" x14ac:dyDescent="0.25">
      <c r="B45" s="93">
        <v>7937200</v>
      </c>
      <c r="C45" s="94" t="s">
        <v>98</v>
      </c>
      <c r="D45" s="95" t="s">
        <v>99</v>
      </c>
      <c r="E45" s="38" t="s">
        <v>27</v>
      </c>
      <c r="F45" s="279"/>
      <c r="G45" s="276"/>
      <c r="H45" s="276"/>
      <c r="I45" s="276"/>
      <c r="J45" s="276"/>
      <c r="K45" s="276"/>
      <c r="L45" s="279"/>
      <c r="M45" s="276"/>
      <c r="N45" s="276"/>
      <c r="O45" s="276"/>
      <c r="P45" s="276"/>
      <c r="Q45" s="276"/>
      <c r="R45" s="276"/>
      <c r="S45" s="279"/>
      <c r="T45" s="362"/>
      <c r="U45" s="362"/>
      <c r="V45" s="362"/>
      <c r="W45" s="362"/>
      <c r="X45" s="362"/>
      <c r="Y45" s="362"/>
      <c r="Z45" s="279"/>
      <c r="AA45" s="277"/>
      <c r="AB45" s="277"/>
      <c r="AC45" s="276"/>
      <c r="AD45" s="276"/>
      <c r="AE45" s="276"/>
      <c r="AF45" s="279"/>
      <c r="AG45" s="279"/>
      <c r="AH45" s="276"/>
      <c r="AI45" s="276"/>
      <c r="AJ45" s="276"/>
    </row>
    <row r="46" spans="2:36" x14ac:dyDescent="0.2">
      <c r="B46" s="134">
        <v>6350655</v>
      </c>
      <c r="C46" s="135" t="s">
        <v>100</v>
      </c>
      <c r="D46" s="136" t="s">
        <v>101</v>
      </c>
      <c r="E46" s="136" t="s">
        <v>24</v>
      </c>
      <c r="F46" s="279"/>
      <c r="G46" s="279"/>
      <c r="H46" s="276"/>
      <c r="I46" s="276"/>
      <c r="J46" s="276"/>
      <c r="K46" s="276"/>
      <c r="L46" s="276"/>
      <c r="M46" s="279"/>
      <c r="N46" s="276"/>
      <c r="O46" s="276"/>
      <c r="P46" s="276"/>
      <c r="Q46" s="276"/>
      <c r="R46" s="276"/>
      <c r="S46" s="276"/>
      <c r="T46" s="279"/>
      <c r="U46" s="276"/>
      <c r="V46" s="276"/>
      <c r="W46" s="276"/>
      <c r="X46" s="276"/>
      <c r="Y46" s="276"/>
      <c r="Z46" s="276"/>
      <c r="AA46" s="279"/>
      <c r="AB46" s="276"/>
      <c r="AC46" s="276"/>
      <c r="AD46" s="276"/>
      <c r="AE46" s="276"/>
      <c r="AF46" s="276"/>
      <c r="AG46" s="279"/>
      <c r="AH46" s="279"/>
      <c r="AI46" s="276"/>
      <c r="AJ46" s="276"/>
    </row>
    <row r="47" spans="2:36" x14ac:dyDescent="0.2">
      <c r="B47" s="39">
        <v>7834830</v>
      </c>
      <c r="C47" s="40" t="s">
        <v>102</v>
      </c>
      <c r="D47" s="67" t="s">
        <v>103</v>
      </c>
      <c r="E47" s="8" t="s">
        <v>24</v>
      </c>
      <c r="F47" s="279"/>
      <c r="G47" s="279"/>
      <c r="H47" s="364"/>
      <c r="I47" s="364"/>
      <c r="J47" s="364"/>
      <c r="K47" s="364"/>
      <c r="L47" s="364"/>
      <c r="M47" s="279"/>
      <c r="N47" s="364"/>
      <c r="O47" s="364"/>
      <c r="P47" s="364"/>
      <c r="Q47" s="364"/>
      <c r="R47" s="364"/>
      <c r="S47" s="364"/>
      <c r="T47" s="279"/>
      <c r="U47" s="364"/>
      <c r="V47" s="364"/>
      <c r="W47" s="364"/>
      <c r="X47" s="364"/>
      <c r="Y47" s="364"/>
      <c r="Z47" s="364"/>
      <c r="AA47" s="279"/>
      <c r="AB47" s="364"/>
      <c r="AC47" s="364"/>
      <c r="AD47" s="364"/>
      <c r="AE47" s="364"/>
      <c r="AF47" s="364"/>
      <c r="AG47" s="279"/>
      <c r="AH47" s="279"/>
      <c r="AI47" s="364"/>
      <c r="AJ47" s="364"/>
    </row>
    <row r="48" spans="2:36" x14ac:dyDescent="0.2">
      <c r="B48" s="39">
        <v>7863826</v>
      </c>
      <c r="C48" s="40" t="s">
        <v>104</v>
      </c>
      <c r="D48" s="67" t="s">
        <v>105</v>
      </c>
      <c r="E48" s="8" t="s">
        <v>24</v>
      </c>
      <c r="F48" s="279"/>
      <c r="G48" s="279"/>
      <c r="H48" s="276"/>
      <c r="I48" s="276"/>
      <c r="J48" s="276"/>
      <c r="K48" s="276"/>
      <c r="L48" s="276"/>
      <c r="M48" s="279"/>
      <c r="N48" s="362"/>
      <c r="O48" s="362"/>
      <c r="P48" s="362"/>
      <c r="Q48" s="362"/>
      <c r="R48" s="362"/>
      <c r="S48" s="362"/>
      <c r="T48" s="279"/>
      <c r="U48" s="276"/>
      <c r="V48" s="276"/>
      <c r="W48" s="276"/>
      <c r="X48" s="276"/>
      <c r="Y48" s="276"/>
      <c r="Z48" s="276"/>
      <c r="AA48" s="279"/>
      <c r="AB48" s="362"/>
      <c r="AC48" s="362"/>
      <c r="AD48" s="362"/>
      <c r="AE48" s="362"/>
      <c r="AF48" s="362"/>
      <c r="AG48" s="279"/>
      <c r="AH48" s="279"/>
      <c r="AI48" s="362"/>
      <c r="AJ48" s="362"/>
    </row>
    <row r="49" spans="2:36" x14ac:dyDescent="0.2">
      <c r="B49" s="39">
        <v>7863822</v>
      </c>
      <c r="C49" s="40" t="s">
        <v>106</v>
      </c>
      <c r="D49" s="67" t="s">
        <v>107</v>
      </c>
      <c r="E49" s="8" t="s">
        <v>24</v>
      </c>
      <c r="F49" s="279"/>
      <c r="G49" s="279"/>
      <c r="H49" s="276"/>
      <c r="I49" s="276"/>
      <c r="J49" s="276"/>
      <c r="K49" s="276"/>
      <c r="L49" s="276"/>
      <c r="M49" s="279"/>
      <c r="N49" s="276"/>
      <c r="O49" s="276"/>
      <c r="P49" s="276"/>
      <c r="Q49" s="276"/>
      <c r="R49" s="276"/>
      <c r="S49" s="276"/>
      <c r="T49" s="279"/>
      <c r="U49" s="362"/>
      <c r="V49" s="362"/>
      <c r="W49" s="362"/>
      <c r="X49" s="362"/>
      <c r="Y49" s="362"/>
      <c r="Z49" s="362"/>
      <c r="AA49" s="279"/>
      <c r="AB49" s="362"/>
      <c r="AC49" s="362"/>
      <c r="AD49" s="362"/>
      <c r="AE49" s="362"/>
      <c r="AF49" s="362"/>
      <c r="AG49" s="279"/>
      <c r="AH49" s="279"/>
      <c r="AI49" s="276"/>
      <c r="AJ49" s="276"/>
    </row>
    <row r="50" spans="2:36" x14ac:dyDescent="0.2">
      <c r="B50" s="39">
        <v>7857835</v>
      </c>
      <c r="C50" s="40" t="s">
        <v>108</v>
      </c>
      <c r="D50" s="67" t="s">
        <v>109</v>
      </c>
      <c r="E50" s="8" t="s">
        <v>27</v>
      </c>
      <c r="F50" s="279"/>
      <c r="G50" s="279"/>
      <c r="H50" s="362"/>
      <c r="I50" s="362"/>
      <c r="J50" s="362"/>
      <c r="K50" s="362"/>
      <c r="L50" s="362"/>
      <c r="M50" s="279"/>
      <c r="N50" s="362"/>
      <c r="O50" s="362"/>
      <c r="P50" s="362"/>
      <c r="Q50" s="362"/>
      <c r="R50" s="362"/>
      <c r="S50" s="362"/>
      <c r="T50" s="279"/>
      <c r="U50" s="276"/>
      <c r="V50" s="276"/>
      <c r="W50" s="276"/>
      <c r="X50" s="276"/>
      <c r="Y50" s="276"/>
      <c r="Z50" s="276"/>
      <c r="AA50" s="279"/>
      <c r="AB50" s="362"/>
      <c r="AC50" s="362"/>
      <c r="AD50" s="362"/>
      <c r="AE50" s="362"/>
      <c r="AF50" s="362"/>
      <c r="AG50" s="279"/>
      <c r="AH50" s="279"/>
      <c r="AI50" s="362"/>
      <c r="AJ50" s="362"/>
    </row>
    <row r="51" spans="2:36" x14ac:dyDescent="0.2">
      <c r="B51" s="97">
        <v>7915365</v>
      </c>
      <c r="C51" s="98" t="s">
        <v>110</v>
      </c>
      <c r="D51" s="99" t="s">
        <v>111</v>
      </c>
      <c r="E51" s="96" t="s">
        <v>27</v>
      </c>
      <c r="F51" s="279"/>
      <c r="G51" s="279"/>
      <c r="H51" s="365"/>
      <c r="I51" s="365"/>
      <c r="J51" s="365"/>
      <c r="K51" s="365"/>
      <c r="L51" s="365"/>
      <c r="M51" s="279"/>
      <c r="N51" s="365"/>
      <c r="O51" s="365"/>
      <c r="P51" s="365"/>
      <c r="Q51" s="365"/>
      <c r="R51" s="365"/>
      <c r="S51" s="365"/>
      <c r="T51" s="279"/>
      <c r="U51" s="276"/>
      <c r="V51" s="276"/>
      <c r="W51" s="276"/>
      <c r="X51" s="276"/>
      <c r="Y51" s="276"/>
      <c r="Z51" s="276"/>
      <c r="AA51" s="279"/>
      <c r="AB51" s="276"/>
      <c r="AC51" s="276"/>
      <c r="AD51" s="276"/>
      <c r="AE51" s="276"/>
      <c r="AF51" s="276"/>
      <c r="AG51" s="279"/>
      <c r="AH51" s="279"/>
      <c r="AI51" s="365"/>
      <c r="AJ51" s="365"/>
    </row>
    <row r="52" spans="2:36" x14ac:dyDescent="0.2">
      <c r="B52" s="100">
        <v>7929011</v>
      </c>
      <c r="C52" s="101" t="s">
        <v>112</v>
      </c>
      <c r="D52" s="102" t="s">
        <v>113</v>
      </c>
      <c r="E52" s="103" t="s">
        <v>27</v>
      </c>
      <c r="F52" s="279"/>
      <c r="G52" s="279"/>
      <c r="H52" s="276"/>
      <c r="I52" s="276"/>
      <c r="J52" s="276"/>
      <c r="K52" s="276"/>
      <c r="L52" s="276"/>
      <c r="M52" s="279"/>
      <c r="N52" s="276"/>
      <c r="O52" s="276"/>
      <c r="P52" s="276"/>
      <c r="Q52" s="276"/>
      <c r="R52" s="276"/>
      <c r="S52" s="276"/>
      <c r="T52" s="279"/>
      <c r="U52" s="365"/>
      <c r="V52" s="365"/>
      <c r="W52" s="365"/>
      <c r="X52" s="365"/>
      <c r="Y52" s="365"/>
      <c r="Z52" s="365"/>
      <c r="AA52" s="279"/>
      <c r="AB52" s="365"/>
      <c r="AC52" s="365"/>
      <c r="AD52" s="365"/>
      <c r="AE52" s="365"/>
      <c r="AF52" s="365"/>
      <c r="AG52" s="279"/>
      <c r="AH52" s="279"/>
      <c r="AI52" s="276"/>
      <c r="AJ52" s="276"/>
    </row>
    <row r="53" spans="2:36" ht="15" thickBot="1" x14ac:dyDescent="0.25">
      <c r="B53" s="138">
        <v>7831441</v>
      </c>
      <c r="C53" s="137" t="s">
        <v>114</v>
      </c>
      <c r="D53" s="138" t="s">
        <v>115</v>
      </c>
      <c r="E53" s="139" t="s">
        <v>27</v>
      </c>
      <c r="F53" s="371"/>
      <c r="G53" s="371"/>
      <c r="H53" s="366"/>
      <c r="I53" s="366"/>
      <c r="J53" s="366"/>
      <c r="K53" s="366"/>
      <c r="L53" s="366"/>
      <c r="M53" s="371"/>
      <c r="N53" s="366"/>
      <c r="O53" s="366"/>
      <c r="P53" s="366"/>
      <c r="Q53" s="366"/>
      <c r="R53" s="366"/>
      <c r="S53" s="366"/>
      <c r="T53" s="371"/>
      <c r="U53" s="372"/>
      <c r="V53" s="372"/>
      <c r="W53" s="372"/>
      <c r="X53" s="372"/>
      <c r="Y53" s="372"/>
      <c r="Z53" s="372"/>
      <c r="AA53" s="371"/>
      <c r="AB53" s="366"/>
      <c r="AC53" s="366"/>
      <c r="AD53" s="366"/>
      <c r="AE53" s="366"/>
      <c r="AF53" s="366"/>
      <c r="AG53" s="371"/>
      <c r="AH53" s="371"/>
      <c r="AI53" s="366"/>
      <c r="AJ53" s="366"/>
    </row>
    <row r="54" spans="2:36" x14ac:dyDescent="0.2">
      <c r="B54" s="202">
        <v>5780782</v>
      </c>
      <c r="C54" s="203" t="s">
        <v>121</v>
      </c>
      <c r="D54" s="204" t="s">
        <v>122</v>
      </c>
      <c r="E54" s="205" t="s">
        <v>123</v>
      </c>
      <c r="F54" s="275"/>
      <c r="G54" s="276"/>
      <c r="H54" s="276"/>
      <c r="I54" s="277"/>
      <c r="J54" s="276"/>
      <c r="K54" s="276"/>
      <c r="L54" s="278"/>
      <c r="M54" s="279"/>
      <c r="N54" s="277"/>
      <c r="O54" s="277"/>
      <c r="P54" s="280"/>
      <c r="Q54" s="279"/>
      <c r="R54" s="281"/>
      <c r="S54" s="281"/>
      <c r="T54" s="281"/>
      <c r="U54" s="279"/>
      <c r="V54" s="281"/>
      <c r="W54" s="276"/>
      <c r="X54" s="276"/>
      <c r="Y54" s="282"/>
      <c r="Z54" s="276"/>
      <c r="AA54" s="279"/>
      <c r="AB54" s="282"/>
      <c r="AC54" s="276"/>
      <c r="AD54" s="276"/>
      <c r="AE54" s="276"/>
      <c r="AF54" s="276"/>
      <c r="AG54" s="276"/>
      <c r="AH54" s="279"/>
      <c r="AI54" s="276"/>
      <c r="AJ54" s="283"/>
    </row>
    <row r="55" spans="2:36" ht="15" thickBot="1" x14ac:dyDescent="0.25">
      <c r="B55" s="216">
        <v>7193333</v>
      </c>
      <c r="C55" s="217" t="s">
        <v>127</v>
      </c>
      <c r="D55" s="218" t="s">
        <v>128</v>
      </c>
      <c r="E55" s="218" t="s">
        <v>123</v>
      </c>
      <c r="F55" s="284"/>
      <c r="G55" s="285"/>
      <c r="H55" s="284"/>
      <c r="I55" s="284"/>
      <c r="J55" s="284"/>
      <c r="K55" s="284"/>
      <c r="L55" s="284"/>
      <c r="M55" s="284"/>
      <c r="N55" s="285"/>
      <c r="O55" s="284"/>
      <c r="P55" s="284"/>
      <c r="Q55" s="284"/>
      <c r="R55" s="284"/>
      <c r="S55" s="286"/>
      <c r="T55" s="284"/>
      <c r="U55" s="284"/>
      <c r="V55" s="287"/>
      <c r="W55" s="279"/>
      <c r="X55" s="284"/>
      <c r="Y55" s="284"/>
      <c r="Z55" s="284"/>
      <c r="AA55" s="284"/>
      <c r="AB55" s="284"/>
      <c r="AC55" s="284"/>
      <c r="AD55" s="285"/>
      <c r="AE55" s="284"/>
      <c r="AF55" s="284"/>
      <c r="AG55" s="284"/>
      <c r="AH55" s="284"/>
      <c r="AI55" s="284"/>
      <c r="AJ55" s="288"/>
    </row>
    <row r="56" spans="2:36" x14ac:dyDescent="0.2">
      <c r="B56" s="41"/>
      <c r="C56" s="42"/>
      <c r="D56" s="43"/>
      <c r="E56" s="43"/>
      <c r="F56" s="44"/>
      <c r="G56" s="6"/>
    </row>
    <row r="57" spans="2:36" ht="15" thickBot="1" x14ac:dyDescent="0.25">
      <c r="F57" s="2">
        <v>46357</v>
      </c>
      <c r="G57" s="2">
        <v>46358</v>
      </c>
      <c r="H57" s="2">
        <v>46359</v>
      </c>
      <c r="I57" s="2">
        <v>46360</v>
      </c>
      <c r="J57" s="2">
        <v>46361</v>
      </c>
      <c r="K57" s="2">
        <v>46362</v>
      </c>
      <c r="L57" s="2">
        <v>46363</v>
      </c>
      <c r="M57" s="2">
        <v>46364</v>
      </c>
      <c r="N57" s="2">
        <v>46365</v>
      </c>
      <c r="O57" s="2">
        <v>46366</v>
      </c>
      <c r="P57" s="2">
        <v>46367</v>
      </c>
      <c r="Q57" s="2">
        <v>46368</v>
      </c>
      <c r="R57" s="2">
        <v>46369</v>
      </c>
      <c r="S57" s="2">
        <v>46370</v>
      </c>
      <c r="T57" s="2">
        <v>46371</v>
      </c>
      <c r="U57" s="2">
        <v>46372</v>
      </c>
      <c r="V57" s="2">
        <v>46373</v>
      </c>
      <c r="W57" s="2">
        <v>46374</v>
      </c>
      <c r="X57" s="2">
        <v>46375</v>
      </c>
      <c r="Y57" s="2">
        <v>46376</v>
      </c>
      <c r="Z57" s="2">
        <v>46377</v>
      </c>
      <c r="AA57" s="2">
        <v>46378</v>
      </c>
      <c r="AB57" s="2">
        <v>46379</v>
      </c>
      <c r="AC57" s="2">
        <v>46380</v>
      </c>
      <c r="AD57" s="2">
        <v>46381</v>
      </c>
      <c r="AE57" s="2">
        <v>46382</v>
      </c>
      <c r="AF57" s="2">
        <v>46383</v>
      </c>
      <c r="AG57" s="2">
        <v>46384</v>
      </c>
      <c r="AH57" s="2">
        <v>46385</v>
      </c>
      <c r="AI57" s="2">
        <v>46386</v>
      </c>
      <c r="AJ57" s="2">
        <v>46387</v>
      </c>
    </row>
    <row r="58" spans="2:36" x14ac:dyDescent="0.2">
      <c r="B58" s="353" t="s">
        <v>7</v>
      </c>
      <c r="C58" s="354"/>
      <c r="D58" s="354"/>
      <c r="E58" s="355"/>
      <c r="F58" s="337">
        <f t="shared" ref="F58:Q58" si="0">COUNTIFS(F4:F53,"A100")</f>
        <v>0</v>
      </c>
      <c r="G58" s="337">
        <f t="shared" si="0"/>
        <v>0</v>
      </c>
      <c r="H58" s="337">
        <f t="shared" si="0"/>
        <v>0</v>
      </c>
      <c r="I58" s="337">
        <f t="shared" si="0"/>
        <v>0</v>
      </c>
      <c r="J58" s="337">
        <f t="shared" si="0"/>
        <v>0</v>
      </c>
      <c r="K58" s="337">
        <f t="shared" si="0"/>
        <v>0</v>
      </c>
      <c r="L58" s="337">
        <f t="shared" si="0"/>
        <v>0</v>
      </c>
      <c r="M58" s="337">
        <f t="shared" si="0"/>
        <v>0</v>
      </c>
      <c r="N58" s="337">
        <f t="shared" si="0"/>
        <v>0</v>
      </c>
      <c r="O58" s="337">
        <f t="shared" si="0"/>
        <v>0</v>
      </c>
      <c r="P58" s="337">
        <f t="shared" si="0"/>
        <v>0</v>
      </c>
      <c r="Q58" s="337">
        <f t="shared" si="0"/>
        <v>0</v>
      </c>
      <c r="R58" s="337" t="s">
        <v>116</v>
      </c>
      <c r="S58" s="337">
        <f>COUNTIFS(S4:S53,"A100")</f>
        <v>0</v>
      </c>
      <c r="T58" s="337">
        <f>COUNTIFS(T4:T53,"A100")</f>
        <v>0</v>
      </c>
      <c r="U58" s="337">
        <f>COUNTIFS(U4:U53,"A100")</f>
        <v>0</v>
      </c>
      <c r="V58" s="337">
        <f>COUNTIFS(V4:V53,"A100")</f>
        <v>0</v>
      </c>
      <c r="W58" s="337">
        <f>COUNTIFS(W4:W53,"A100")</f>
        <v>0</v>
      </c>
      <c r="X58" s="337">
        <f>COUNTIFS(H4:H53,"A100")</f>
        <v>0</v>
      </c>
      <c r="Y58" s="337">
        <f>COUNTIFS(Y4:Y53,"A100")</f>
        <v>0</v>
      </c>
      <c r="Z58" s="337">
        <f>COUNTIFS(Z4:Z53,"A100")</f>
        <v>0</v>
      </c>
      <c r="AA58" s="337">
        <f>COUNTIFS(AA4:AA53,"A100")</f>
        <v>0</v>
      </c>
      <c r="AB58" s="337">
        <f>COUNTIFS(AH4:AH53,"A100")</f>
        <v>0</v>
      </c>
      <c r="AC58" s="337">
        <f t="shared" ref="AC58:AI58" si="1">COUNTIFS(AC4:AC53,"A100")</f>
        <v>0</v>
      </c>
      <c r="AD58" s="337">
        <f t="shared" si="1"/>
        <v>0</v>
      </c>
      <c r="AE58" s="337">
        <f t="shared" si="1"/>
        <v>0</v>
      </c>
      <c r="AF58" s="337">
        <f t="shared" si="1"/>
        <v>0</v>
      </c>
      <c r="AG58" s="337">
        <f t="shared" si="1"/>
        <v>0</v>
      </c>
      <c r="AH58" s="337">
        <f t="shared" si="1"/>
        <v>0</v>
      </c>
      <c r="AI58" s="337">
        <f t="shared" si="1"/>
        <v>0</v>
      </c>
      <c r="AJ58" s="337">
        <f t="shared" ref="AJ58" si="2">COUNTIFS(AJ4:AJ53,"A100")</f>
        <v>0</v>
      </c>
    </row>
    <row r="59" spans="2:36" ht="15" thickBot="1" x14ac:dyDescent="0.25">
      <c r="B59" s="356"/>
      <c r="C59" s="357"/>
      <c r="D59" s="357"/>
      <c r="E59" s="35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338"/>
      <c r="AB59" s="338"/>
      <c r="AC59" s="338"/>
      <c r="AD59" s="338"/>
      <c r="AE59" s="338"/>
      <c r="AF59" s="338"/>
      <c r="AG59" s="338"/>
      <c r="AH59" s="338"/>
      <c r="AI59" s="338"/>
      <c r="AJ59" s="338"/>
    </row>
    <row r="60" spans="2:36" ht="15" thickBot="1" x14ac:dyDescent="0.25">
      <c r="B60" s="1"/>
      <c r="C60" s="1"/>
      <c r="D60" s="1"/>
      <c r="E60" s="1"/>
    </row>
    <row r="61" spans="2:36" x14ac:dyDescent="0.2">
      <c r="B61" s="339" t="s">
        <v>22</v>
      </c>
      <c r="C61" s="340"/>
      <c r="D61" s="340"/>
      <c r="E61" s="341"/>
      <c r="F61" s="337">
        <f t="shared" ref="F61:W61" si="3">COUNTIFS(F4:F53,"A600")</f>
        <v>0</v>
      </c>
      <c r="G61" s="337">
        <f t="shared" si="3"/>
        <v>0</v>
      </c>
      <c r="H61" s="337">
        <f t="shared" si="3"/>
        <v>0</v>
      </c>
      <c r="I61" s="337">
        <f t="shared" si="3"/>
        <v>0</v>
      </c>
      <c r="J61" s="337">
        <f t="shared" si="3"/>
        <v>0</v>
      </c>
      <c r="K61" s="337">
        <f t="shared" si="3"/>
        <v>0</v>
      </c>
      <c r="L61" s="337">
        <f t="shared" si="3"/>
        <v>0</v>
      </c>
      <c r="M61" s="337">
        <f t="shared" si="3"/>
        <v>0</v>
      </c>
      <c r="N61" s="337">
        <f t="shared" si="3"/>
        <v>0</v>
      </c>
      <c r="O61" s="337">
        <f t="shared" si="3"/>
        <v>0</v>
      </c>
      <c r="P61" s="337">
        <f t="shared" si="3"/>
        <v>0</v>
      </c>
      <c r="Q61" s="337">
        <f t="shared" si="3"/>
        <v>0</v>
      </c>
      <c r="R61" s="337">
        <f t="shared" si="3"/>
        <v>0</v>
      </c>
      <c r="S61" s="337">
        <f t="shared" si="3"/>
        <v>0</v>
      </c>
      <c r="T61" s="337">
        <f t="shared" si="3"/>
        <v>0</v>
      </c>
      <c r="U61" s="337">
        <f t="shared" si="3"/>
        <v>0</v>
      </c>
      <c r="V61" s="337">
        <f t="shared" si="3"/>
        <v>0</v>
      </c>
      <c r="W61" s="337">
        <f t="shared" si="3"/>
        <v>0</v>
      </c>
      <c r="X61" s="337">
        <f>COUNTIFS(H4:H53,"A600")</f>
        <v>0</v>
      </c>
      <c r="Y61" s="337">
        <f>COUNTIFS(Y4:Y53,"A600")</f>
        <v>0</v>
      </c>
      <c r="Z61" s="337">
        <f>COUNTIFS(Z4:Z53,"A600")</f>
        <v>0</v>
      </c>
      <c r="AA61" s="337">
        <f>COUNTIFS(AA4:AA53,"A600")</f>
        <v>0</v>
      </c>
      <c r="AB61" s="337">
        <f>COUNTIFS(AH4:AH53,"A600")</f>
        <v>0</v>
      </c>
      <c r="AC61" s="337">
        <f t="shared" ref="AC61:AI61" si="4">COUNTIFS(AC4:AC53,"A600")</f>
        <v>0</v>
      </c>
      <c r="AD61" s="337">
        <f t="shared" si="4"/>
        <v>0</v>
      </c>
      <c r="AE61" s="337">
        <f t="shared" si="4"/>
        <v>0</v>
      </c>
      <c r="AF61" s="337">
        <f t="shared" si="4"/>
        <v>0</v>
      </c>
      <c r="AG61" s="337">
        <f t="shared" si="4"/>
        <v>0</v>
      </c>
      <c r="AH61" s="337">
        <f t="shared" si="4"/>
        <v>0</v>
      </c>
      <c r="AI61" s="337">
        <f t="shared" si="4"/>
        <v>0</v>
      </c>
      <c r="AJ61" s="337">
        <f t="shared" ref="AJ61" si="5">COUNTIFS(AJ4:AJ53,"A600")</f>
        <v>0</v>
      </c>
    </row>
    <row r="62" spans="2:36" ht="15" thickBot="1" x14ac:dyDescent="0.25">
      <c r="B62" s="342"/>
      <c r="C62" s="343"/>
      <c r="D62" s="343"/>
      <c r="E62" s="344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38"/>
      <c r="AI62" s="338"/>
      <c r="AJ62" s="338"/>
    </row>
    <row r="63" spans="2:36" ht="15" thickBot="1" x14ac:dyDescent="0.25">
      <c r="B63" s="1"/>
      <c r="C63" s="1"/>
      <c r="D63" s="1"/>
      <c r="E63" s="1"/>
    </row>
    <row r="64" spans="2:36" x14ac:dyDescent="0.2">
      <c r="B64" s="333" t="s">
        <v>10</v>
      </c>
      <c r="C64" s="334"/>
      <c r="D64" s="334"/>
      <c r="E64" s="334"/>
      <c r="F64" s="331">
        <f t="shared" ref="F64:W64" si="6">COUNTIFS(F4:F53,"A900")</f>
        <v>0</v>
      </c>
      <c r="G64" s="331">
        <f t="shared" si="6"/>
        <v>0</v>
      </c>
      <c r="H64" s="331">
        <f t="shared" si="6"/>
        <v>0</v>
      </c>
      <c r="I64" s="331">
        <f t="shared" si="6"/>
        <v>0</v>
      </c>
      <c r="J64" s="331">
        <f t="shared" si="6"/>
        <v>0</v>
      </c>
      <c r="K64" s="331">
        <f t="shared" si="6"/>
        <v>0</v>
      </c>
      <c r="L64" s="331">
        <f t="shared" si="6"/>
        <v>0</v>
      </c>
      <c r="M64" s="331">
        <f t="shared" si="6"/>
        <v>0</v>
      </c>
      <c r="N64" s="331">
        <f t="shared" si="6"/>
        <v>0</v>
      </c>
      <c r="O64" s="331">
        <f t="shared" si="6"/>
        <v>0</v>
      </c>
      <c r="P64" s="331">
        <f t="shared" si="6"/>
        <v>0</v>
      </c>
      <c r="Q64" s="331">
        <f t="shared" si="6"/>
        <v>0</v>
      </c>
      <c r="R64" s="331">
        <f t="shared" si="6"/>
        <v>0</v>
      </c>
      <c r="S64" s="331">
        <f t="shared" si="6"/>
        <v>0</v>
      </c>
      <c r="T64" s="331">
        <f t="shared" si="6"/>
        <v>0</v>
      </c>
      <c r="U64" s="331">
        <f t="shared" si="6"/>
        <v>0</v>
      </c>
      <c r="V64" s="331">
        <f t="shared" si="6"/>
        <v>0</v>
      </c>
      <c r="W64" s="331">
        <f t="shared" si="6"/>
        <v>0</v>
      </c>
      <c r="X64" s="331">
        <f>COUNTIFS(H4:H53,"A900")</f>
        <v>0</v>
      </c>
      <c r="Y64" s="331">
        <f>COUNTIFS(Y4:Y53,"A900")</f>
        <v>0</v>
      </c>
      <c r="Z64" s="331">
        <f>COUNTIFS(Z4:Z53,"A900")</f>
        <v>0</v>
      </c>
      <c r="AA64" s="331">
        <f>COUNTIFS(AA4:AA53,"A900")</f>
        <v>0</v>
      </c>
      <c r="AB64" s="331">
        <f>COUNTIFS(AH4:AH53,"A900")</f>
        <v>0</v>
      </c>
      <c r="AC64" s="331">
        <f t="shared" ref="AC64:AI64" si="7">COUNTIFS(AC4:AC53,"A900")</f>
        <v>0</v>
      </c>
      <c r="AD64" s="331">
        <f t="shared" si="7"/>
        <v>0</v>
      </c>
      <c r="AE64" s="331">
        <f t="shared" si="7"/>
        <v>0</v>
      </c>
      <c r="AF64" s="331">
        <f t="shared" si="7"/>
        <v>0</v>
      </c>
      <c r="AG64" s="331">
        <f t="shared" si="7"/>
        <v>0</v>
      </c>
      <c r="AH64" s="331">
        <f t="shared" si="7"/>
        <v>0</v>
      </c>
      <c r="AI64" s="331">
        <f t="shared" si="7"/>
        <v>0</v>
      </c>
      <c r="AJ64" s="331">
        <f t="shared" ref="AJ64" si="8">COUNTIFS(AJ4:AJ53,"A900")</f>
        <v>0</v>
      </c>
    </row>
    <row r="65" spans="2:36" ht="15" thickBot="1" x14ac:dyDescent="0.25">
      <c r="B65" s="335"/>
      <c r="C65" s="336"/>
      <c r="D65" s="336"/>
      <c r="E65" s="336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  <c r="AA65" s="332"/>
      <c r="AB65" s="332"/>
      <c r="AC65" s="332"/>
      <c r="AD65" s="332"/>
      <c r="AE65" s="332"/>
      <c r="AF65" s="332"/>
      <c r="AG65" s="332"/>
      <c r="AH65" s="332"/>
      <c r="AI65" s="332"/>
      <c r="AJ65" s="332"/>
    </row>
  </sheetData>
  <mergeCells count="100">
    <mergeCell ref="AE64:AE65"/>
    <mergeCell ref="AF64:AF65"/>
    <mergeCell ref="AG64:AG65"/>
    <mergeCell ref="AH64:AH65"/>
    <mergeCell ref="AI64:AI65"/>
    <mergeCell ref="AJ64:AJ65"/>
    <mergeCell ref="Y64:Y65"/>
    <mergeCell ref="Z64:Z65"/>
    <mergeCell ref="AA64:AA65"/>
    <mergeCell ref="AB64:AB65"/>
    <mergeCell ref="AC64:AC65"/>
    <mergeCell ref="AD64:AD65"/>
    <mergeCell ref="S64:S65"/>
    <mergeCell ref="T64:T65"/>
    <mergeCell ref="U64:U65"/>
    <mergeCell ref="V64:V65"/>
    <mergeCell ref="W64:W65"/>
    <mergeCell ref="X64:X65"/>
    <mergeCell ref="M64:M65"/>
    <mergeCell ref="N64:N65"/>
    <mergeCell ref="O64:O65"/>
    <mergeCell ref="P64:P65"/>
    <mergeCell ref="Q64:Q65"/>
    <mergeCell ref="R64:R65"/>
    <mergeCell ref="AI61:AI62"/>
    <mergeCell ref="AJ61:AJ62"/>
    <mergeCell ref="B64:E65"/>
    <mergeCell ref="F64:F65"/>
    <mergeCell ref="G64:G65"/>
    <mergeCell ref="H64:H65"/>
    <mergeCell ref="I64:I65"/>
    <mergeCell ref="J64:J65"/>
    <mergeCell ref="K64:K65"/>
    <mergeCell ref="L64:L65"/>
    <mergeCell ref="AC61:AC62"/>
    <mergeCell ref="AD61:AD62"/>
    <mergeCell ref="AE61:AE62"/>
    <mergeCell ref="AF61:AF62"/>
    <mergeCell ref="AG61:AG62"/>
    <mergeCell ref="AH61:AH62"/>
    <mergeCell ref="W61:W62"/>
    <mergeCell ref="X61:X62"/>
    <mergeCell ref="Y61:Y62"/>
    <mergeCell ref="Z61:Z62"/>
    <mergeCell ref="AA61:AA62"/>
    <mergeCell ref="AB61:AB62"/>
    <mergeCell ref="Q61:Q62"/>
    <mergeCell ref="R61:R62"/>
    <mergeCell ref="S61:S62"/>
    <mergeCell ref="T61:T62"/>
    <mergeCell ref="U61:U62"/>
    <mergeCell ref="V61:V62"/>
    <mergeCell ref="K61:K62"/>
    <mergeCell ref="L61:L62"/>
    <mergeCell ref="M61:M62"/>
    <mergeCell ref="N61:N62"/>
    <mergeCell ref="O61:O62"/>
    <mergeCell ref="P61:P62"/>
    <mergeCell ref="B61:E62"/>
    <mergeCell ref="F61:F62"/>
    <mergeCell ref="G61:G62"/>
    <mergeCell ref="H61:H62"/>
    <mergeCell ref="I61:I62"/>
    <mergeCell ref="J61:J62"/>
    <mergeCell ref="AE58:AE59"/>
    <mergeCell ref="AF58:AF59"/>
    <mergeCell ref="AG58:AG59"/>
    <mergeCell ref="AH58:AH59"/>
    <mergeCell ref="AI58:AI59"/>
    <mergeCell ref="AJ58:AJ59"/>
    <mergeCell ref="Y58:Y59"/>
    <mergeCell ref="Z58:Z59"/>
    <mergeCell ref="AA58:AA59"/>
    <mergeCell ref="AB58:AB59"/>
    <mergeCell ref="AC58:AC59"/>
    <mergeCell ref="AD58:AD59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J58:J59"/>
    <mergeCell ref="K58:K59"/>
    <mergeCell ref="L58:L59"/>
    <mergeCell ref="B2:B3"/>
    <mergeCell ref="C2:C3"/>
    <mergeCell ref="D2:D3"/>
    <mergeCell ref="E2:E3"/>
    <mergeCell ref="B58:E59"/>
    <mergeCell ref="F58:F5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08-69</vt:lpstr>
      <vt:lpstr>09-69</vt:lpstr>
      <vt:lpstr>10-69</vt:lpstr>
      <vt:lpstr>11-69</vt:lpstr>
      <vt:lpstr>12-69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PREM</dc:creator>
  <cp:keywords/>
  <dc:description/>
  <cp:lastModifiedBy>Arthit Punato</cp:lastModifiedBy>
  <cp:revision/>
  <dcterms:created xsi:type="dcterms:W3CDTF">2026-01-20T01:58:55Z</dcterms:created>
  <dcterms:modified xsi:type="dcterms:W3CDTF">2026-08-24T07:24:34Z</dcterms:modified>
  <cp:category/>
  <cp:contentStatus/>
</cp:coreProperties>
</file>